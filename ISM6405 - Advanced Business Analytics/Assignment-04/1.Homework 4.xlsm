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ropbox\Education\2016-2017\2016 Summer\ISM 6405\Homework\Homework 04 (2016-06-12) - Due\Submittal\"/>
    </mc:Choice>
  </mc:AlternateContent>
  <bookViews>
    <workbookView xWindow="0" yWindow="0" windowWidth="19560" windowHeight="5805"/>
  </bookViews>
  <sheets>
    <sheet name="Documentation" sheetId="6" r:id="rId1"/>
    <sheet name="HW4 Q1" sheetId="2" r:id="rId2"/>
    <sheet name="HW4 Q2" sheetId="4" r:id="rId3"/>
    <sheet name="HW4 Q3" sheetId="5" r:id="rId4"/>
  </sheets>
  <definedNames>
    <definedName name="cashflows">'HW4 Q3'!$D$3:$D$6</definedName>
    <definedName name="dates">'HW4 Q3'!$C$3:$C$6</definedName>
    <definedName name="endDate">'HW4 Q2'!$B$2</definedName>
    <definedName name="holidays">'HW4 Q2'!$B$3:$B$5</definedName>
    <definedName name="startDate">'HW4 Q2'!$B$1</definedName>
  </definedNames>
  <calcPr calcId="152511"/>
</workbook>
</file>

<file path=xl/calcChain.xml><?xml version="1.0" encoding="utf-8"?>
<calcChain xmlns="http://schemas.openxmlformats.org/spreadsheetml/2006/main">
  <c r="D7" i="5" l="1"/>
  <c r="I7" i="2" l="1"/>
  <c r="I8" i="2"/>
  <c r="I9" i="2"/>
  <c r="I10" i="2"/>
  <c r="I11" i="2"/>
  <c r="I12" i="2"/>
  <c r="I13" i="2"/>
  <c r="I6" i="2"/>
  <c r="H7" i="2"/>
  <c r="H8" i="2"/>
  <c r="H9" i="2"/>
  <c r="H10" i="2"/>
  <c r="H11" i="2"/>
  <c r="H12" i="2"/>
  <c r="H13" i="2"/>
  <c r="H6" i="2"/>
  <c r="E7" i="2" l="1"/>
  <c r="E8" i="2"/>
  <c r="E9" i="2"/>
  <c r="E10" i="2"/>
  <c r="E11" i="2"/>
  <c r="E12" i="2"/>
  <c r="E13" i="2"/>
  <c r="E6" i="2"/>
  <c r="F7" i="2"/>
  <c r="F8" i="2"/>
  <c r="F9" i="2"/>
  <c r="F10" i="2"/>
  <c r="F11" i="2"/>
  <c r="F12" i="2"/>
  <c r="F13" i="2"/>
  <c r="F6" i="2"/>
  <c r="G7" i="2"/>
  <c r="G8" i="2"/>
  <c r="G9" i="2"/>
  <c r="G10" i="2"/>
  <c r="G11" i="2"/>
  <c r="G12" i="2"/>
  <c r="G13" i="2"/>
  <c r="G6" i="2"/>
  <c r="D7" i="2"/>
  <c r="D8" i="2"/>
  <c r="D9" i="2"/>
  <c r="D10" i="2"/>
  <c r="D11" i="2"/>
  <c r="D12" i="2"/>
  <c r="D13" i="2"/>
  <c r="D6" i="2"/>
  <c r="C13" i="2"/>
  <c r="C12" i="2"/>
  <c r="C11" i="2"/>
  <c r="C10" i="2"/>
  <c r="C9" i="2"/>
  <c r="C8" i="2"/>
  <c r="C7" i="2"/>
  <c r="C6" i="2"/>
  <c r="B7" i="4"/>
</calcChain>
</file>

<file path=xl/sharedStrings.xml><?xml version="1.0" encoding="utf-8"?>
<sst xmlns="http://schemas.openxmlformats.org/spreadsheetml/2006/main" count="36" uniqueCount="35">
  <si>
    <t>Yellow</t>
  </si>
  <si>
    <t>XYZ Corp bought a Red Widgit from Vendor 1 on 41026 and sold it to Vendor 12 on 41508</t>
  </si>
  <si>
    <t>XYZ Corp bought a Blue Widgit from Vendor 2 on 41244 and sold it to Vendor 11 on 41886</t>
  </si>
  <si>
    <t>XYZ Corp bought a Green Widgit from Vendor 3 on 41485 and sold it to Vendor 10 on 42137</t>
  </si>
  <si>
    <t>XYZ Corp bought a Purple Widgit from Vendor 4 on 41465 and sold it to Vendor 9 on 42078</t>
  </si>
  <si>
    <t>XYZ Corp bought a Orange Widgit from Vendor 5 on 43786 and sold it to Vendor 8 on 44764</t>
  </si>
  <si>
    <t>XYZ Corp bought a Yellow Widgit from Vendor 6 on 43832 and sold it to Vendor 7 on 45110</t>
  </si>
  <si>
    <t>XYZ Corp bought a Red Widgit from Vendor 7 on 42753 and sold it to Vendor 6 on 44230</t>
  </si>
  <si>
    <t>XYZ Corp bought a Blue Widgit from Vendor 8 on 43379 and sold it to Vendor 5 on 44568</t>
  </si>
  <si>
    <t>Widgit Type</t>
  </si>
  <si>
    <t>Date Purchased</t>
  </si>
  <si>
    <t>Date Sold</t>
  </si>
  <si>
    <t>Months Kept</t>
  </si>
  <si>
    <t>Years Kept</t>
  </si>
  <si>
    <t>Bought from Vendor Number</t>
  </si>
  <si>
    <t>Sold to Vendor Number</t>
  </si>
  <si>
    <t>Sample Results</t>
  </si>
  <si>
    <t xml:space="preserve">Author : </t>
  </si>
  <si>
    <t>Maciej Medyk</t>
  </si>
  <si>
    <t xml:space="preserve">Date &amp; Time Created : </t>
  </si>
  <si>
    <t xml:space="preserve">Date &amp; Time Completed : </t>
  </si>
  <si>
    <t xml:space="preserve">Purpose : </t>
  </si>
  <si>
    <t>Start Date</t>
  </si>
  <si>
    <t>End Date</t>
  </si>
  <si>
    <t>Total Days</t>
  </si>
  <si>
    <t>Memorial Day</t>
  </si>
  <si>
    <t>Independence Day</t>
  </si>
  <si>
    <t>Labor Day</t>
  </si>
  <si>
    <t>Formula</t>
  </si>
  <si>
    <t>=NETWORKDAYS(startDate,endDate,holidays)</t>
  </si>
  <si>
    <t>Year</t>
  </si>
  <si>
    <t>Cash Flow</t>
  </si>
  <si>
    <t>Dates</t>
  </si>
  <si>
    <t>Net Present Value</t>
  </si>
  <si>
    <t>=XNPV(0.15,cashflows,dates)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</si>
</sst>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3" formatCode="_(* #,##0.00_);_(* \(#,##0.00\);_(* &quot;-&quot;??_);_(@_)"/>
    <numFmt numFmtId="164" formatCode="[$-409]mmmm\ d\,\ yyyy;@"/>
    <numFmt numFmtId="165" formatCode="&quot;$&quot;#,##0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2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 wrapText="1"/>
    </xf>
    <xf numFmtId="22" fontId="0" fillId="0" borderId="0" xfId="0" applyNumberFormat="1" applyAlignment="1">
      <alignment horizontal="left"/>
    </xf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4" fontId="2" fillId="4" borderId="0" xfId="0" applyNumberFormat="1" applyFont="1" applyFill="1"/>
    <xf numFmtId="0" fontId="0" fillId="5" borderId="0" xfId="0" applyFill="1"/>
    <xf numFmtId="0" fontId="2" fillId="6" borderId="0" xfId="0" applyFont="1" applyFill="1"/>
    <xf numFmtId="0" fontId="0" fillId="6" borderId="0" xfId="0" quotePrefix="1" applyFill="1"/>
    <xf numFmtId="0" fontId="0" fillId="6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/>
    </xf>
    <xf numFmtId="165" fontId="0" fillId="0" borderId="2" xfId="1" applyNumberFormat="1" applyFont="1" applyBorder="1"/>
    <xf numFmtId="8" fontId="0" fillId="0" borderId="0" xfId="0" applyNumberFormat="1"/>
    <xf numFmtId="165" fontId="0" fillId="0" borderId="5" xfId="1" applyNumberFormat="1" applyFont="1" applyBorder="1"/>
    <xf numFmtId="0" fontId="0" fillId="0" borderId="6" xfId="0" applyBorder="1" applyAlignment="1">
      <alignment horizontal="center"/>
    </xf>
    <xf numFmtId="14" fontId="0" fillId="0" borderId="4" xfId="0" applyNumberFormat="1" applyBorder="1"/>
    <xf numFmtId="14" fontId="0" fillId="0" borderId="8" xfId="0" applyNumberFormat="1" applyBorder="1"/>
    <xf numFmtId="0" fontId="0" fillId="0" borderId="10" xfId="0" applyBorder="1" applyAlignment="1">
      <alignment horizontal="center"/>
    </xf>
    <xf numFmtId="14" fontId="0" fillId="0" borderId="11" xfId="0" applyNumberFormat="1" applyBorder="1"/>
    <xf numFmtId="165" fontId="0" fillId="0" borderId="12" xfId="1" applyNumberFormat="1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166" fontId="0" fillId="5" borderId="7" xfId="0" applyNumberFormat="1" applyFill="1" applyBorder="1"/>
    <xf numFmtId="0" fontId="0" fillId="5" borderId="3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0" xfId="0" applyFill="1"/>
    <xf numFmtId="0" fontId="0" fillId="6" borderId="0" xfId="0" quotePrefix="1" applyFill="1" applyAlignment="1">
      <alignment horizontal="left"/>
    </xf>
    <xf numFmtId="0" fontId="0" fillId="0" borderId="0" xfId="0" quotePrefix="1" applyFill="1" applyAlignme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/>
  </sheetViews>
  <sheetFormatPr defaultRowHeight="15" x14ac:dyDescent="0.25"/>
  <cols>
    <col min="1" max="1" width="15.7109375" customWidth="1"/>
    <col min="2" max="2" width="30.7109375" customWidth="1"/>
  </cols>
  <sheetData>
    <row r="1" spans="1:5" x14ac:dyDescent="0.25">
      <c r="E1" s="4"/>
    </row>
    <row r="4" spans="1:5" x14ac:dyDescent="0.25">
      <c r="A4" s="5" t="s">
        <v>17</v>
      </c>
      <c r="B4" s="6" t="s">
        <v>18</v>
      </c>
    </row>
    <row r="5" spans="1:5" ht="30" x14ac:dyDescent="0.25">
      <c r="A5" s="7" t="s">
        <v>19</v>
      </c>
      <c r="B5" s="8">
        <v>42525.851238425923</v>
      </c>
    </row>
    <row r="6" spans="1:5" ht="30" x14ac:dyDescent="0.25">
      <c r="A6" s="7" t="s">
        <v>20</v>
      </c>
      <c r="B6" s="8">
        <v>42525.905347222222</v>
      </c>
    </row>
    <row r="7" spans="1:5" x14ac:dyDescent="0.25">
      <c r="A7" s="5"/>
      <c r="B7" s="6"/>
    </row>
    <row r="8" spans="1:5" x14ac:dyDescent="0.25">
      <c r="A8" s="5" t="s">
        <v>21</v>
      </c>
      <c r="B8" s="6"/>
    </row>
    <row r="11" spans="1:5" x14ac:dyDescent="0.25">
      <c r="B1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17"/>
  <sheetViews>
    <sheetView workbookViewId="0"/>
  </sheetViews>
  <sheetFormatPr defaultRowHeight="15" x14ac:dyDescent="0.25"/>
  <cols>
    <col min="1" max="1" width="82.140625" bestFit="1" customWidth="1"/>
    <col min="5" max="5" width="11.28515625" customWidth="1"/>
    <col min="6" max="7" width="10.42578125" customWidth="1"/>
  </cols>
  <sheetData>
    <row r="3" spans="1:9" s="1" customFormat="1" ht="60" x14ac:dyDescent="0.25">
      <c r="C3" s="1" t="s">
        <v>9</v>
      </c>
      <c r="D3" s="1" t="s">
        <v>14</v>
      </c>
      <c r="E3" s="1" t="s">
        <v>10</v>
      </c>
      <c r="F3" s="1" t="s">
        <v>11</v>
      </c>
      <c r="G3" s="1" t="s">
        <v>15</v>
      </c>
      <c r="H3" s="1" t="s">
        <v>12</v>
      </c>
      <c r="I3" s="1" t="s">
        <v>13</v>
      </c>
    </row>
    <row r="4" spans="1:9" s="1" customFormat="1" x14ac:dyDescent="0.25">
      <c r="A4" s="1" t="s">
        <v>16</v>
      </c>
      <c r="C4" s="2" t="s">
        <v>0</v>
      </c>
      <c r="D4" s="2">
        <v>3</v>
      </c>
      <c r="E4" s="3">
        <v>40878</v>
      </c>
      <c r="F4" s="3">
        <v>41886</v>
      </c>
      <c r="G4" s="2">
        <v>4</v>
      </c>
      <c r="H4" s="2">
        <v>33</v>
      </c>
      <c r="I4" s="2">
        <v>2</v>
      </c>
    </row>
    <row r="5" spans="1:9" s="1" customFormat="1" x14ac:dyDescent="0.25">
      <c r="C5" s="2"/>
      <c r="D5" s="2"/>
      <c r="E5" s="3"/>
      <c r="F5" s="3"/>
      <c r="G5" s="2"/>
      <c r="H5" s="2"/>
      <c r="I5" s="2"/>
    </row>
    <row r="6" spans="1:9" x14ac:dyDescent="0.25">
      <c r="A6" t="s">
        <v>1</v>
      </c>
      <c r="C6" s="19" t="str">
        <f t="shared" ref="C6:C13" si="0">MID(A6,19,FIND(" Widgit",A6)-19)</f>
        <v>Red</v>
      </c>
      <c r="D6" s="19" t="str">
        <f>MID(A6,FIND("from Vendor",A6)+12,(FIND("on",A6)-(FIND("from Vendor",A6))-13))</f>
        <v>1</v>
      </c>
      <c r="E6" s="20">
        <f>DATE(1900,1,1)+MID(A6,(FIND("on",A6)+3),(FIND("and sold",A6))-(FIND("on",A6)+4))-1</f>
        <v>41026</v>
      </c>
      <c r="F6" s="20">
        <f>DATE(1900,1,1)+RIGHT(A6,5)-1</f>
        <v>41508</v>
      </c>
      <c r="G6" s="19" t="str">
        <f>MID(A6,FIND("to Vendor",A6)+10,(FIND("on",A6,(FIND("to Vendor",A6)+10))-(FIND("to Vendor",A6))-11))</f>
        <v>12</v>
      </c>
      <c r="H6" s="19">
        <f>DATEDIF(E6,F6,"m")</f>
        <v>15</v>
      </c>
      <c r="I6" s="19">
        <f>DATEDIF(E6,F6,"y")</f>
        <v>1</v>
      </c>
    </row>
    <row r="7" spans="1:9" x14ac:dyDescent="0.25">
      <c r="A7" t="s">
        <v>2</v>
      </c>
      <c r="C7" s="19" t="str">
        <f t="shared" si="0"/>
        <v>Blue</v>
      </c>
      <c r="D7" s="19" t="str">
        <f t="shared" ref="D7:D13" si="1">MID(A7,FIND("from Vendor",A7)+12,(FIND("on",A7)-(FIND("from Vendor",A7))-13))</f>
        <v>2</v>
      </c>
      <c r="E7" s="20">
        <f t="shared" ref="E7:E13" si="2">DATE(1900,1,1)+MID(A7,(FIND("on",A7)+3),(FIND("and sold",A7))-(FIND("on",A7)+4))-1</f>
        <v>41244</v>
      </c>
      <c r="F7" s="20">
        <f t="shared" ref="F7:F13" si="3">DATE(1900,1,1)+RIGHT(A7,5)-1</f>
        <v>41886</v>
      </c>
      <c r="G7" s="19" t="str">
        <f t="shared" ref="G7:G13" si="4">MID(A7,FIND("to Vendor",A7)+10,(FIND("on",A7,(FIND("to Vendor",A7)+10))-(FIND("to Vendor",A7))-11))</f>
        <v>11</v>
      </c>
      <c r="H7" s="19">
        <f t="shared" ref="H7:H13" si="5">DATEDIF(E7,F7,"m")</f>
        <v>21</v>
      </c>
      <c r="I7" s="19">
        <f t="shared" ref="I7:I13" si="6">DATEDIF(E7,F7,"y")</f>
        <v>1</v>
      </c>
    </row>
    <row r="8" spans="1:9" x14ac:dyDescent="0.25">
      <c r="A8" t="s">
        <v>3</v>
      </c>
      <c r="C8" s="19" t="str">
        <f t="shared" si="0"/>
        <v>Green</v>
      </c>
      <c r="D8" s="19" t="str">
        <f t="shared" si="1"/>
        <v>3</v>
      </c>
      <c r="E8" s="20">
        <f t="shared" si="2"/>
        <v>41485</v>
      </c>
      <c r="F8" s="20">
        <f t="shared" si="3"/>
        <v>42137</v>
      </c>
      <c r="G8" s="19" t="str">
        <f t="shared" si="4"/>
        <v>10</v>
      </c>
      <c r="H8" s="19">
        <f t="shared" si="5"/>
        <v>21</v>
      </c>
      <c r="I8" s="19">
        <f t="shared" si="6"/>
        <v>1</v>
      </c>
    </row>
    <row r="9" spans="1:9" x14ac:dyDescent="0.25">
      <c r="A9" t="s">
        <v>4</v>
      </c>
      <c r="C9" s="19" t="str">
        <f t="shared" si="0"/>
        <v>Purple</v>
      </c>
      <c r="D9" s="19" t="str">
        <f t="shared" si="1"/>
        <v>4</v>
      </c>
      <c r="E9" s="20">
        <f t="shared" si="2"/>
        <v>41465</v>
      </c>
      <c r="F9" s="20">
        <f t="shared" si="3"/>
        <v>42078</v>
      </c>
      <c r="G9" s="19" t="str">
        <f t="shared" si="4"/>
        <v>9</v>
      </c>
      <c r="H9" s="19">
        <f t="shared" si="5"/>
        <v>20</v>
      </c>
      <c r="I9" s="19">
        <f t="shared" si="6"/>
        <v>1</v>
      </c>
    </row>
    <row r="10" spans="1:9" x14ac:dyDescent="0.25">
      <c r="A10" t="s">
        <v>5</v>
      </c>
      <c r="C10" s="19" t="str">
        <f t="shared" si="0"/>
        <v>Orange</v>
      </c>
      <c r="D10" s="19" t="str">
        <f t="shared" si="1"/>
        <v>5</v>
      </c>
      <c r="E10" s="20">
        <f t="shared" si="2"/>
        <v>43786</v>
      </c>
      <c r="F10" s="20">
        <f t="shared" si="3"/>
        <v>44764</v>
      </c>
      <c r="G10" s="19" t="str">
        <f t="shared" si="4"/>
        <v>8</v>
      </c>
      <c r="H10" s="19">
        <f t="shared" si="5"/>
        <v>32</v>
      </c>
      <c r="I10" s="19">
        <f t="shared" si="6"/>
        <v>2</v>
      </c>
    </row>
    <row r="11" spans="1:9" x14ac:dyDescent="0.25">
      <c r="A11" t="s">
        <v>6</v>
      </c>
      <c r="C11" s="19" t="str">
        <f t="shared" si="0"/>
        <v>Yellow</v>
      </c>
      <c r="D11" s="19" t="str">
        <f t="shared" si="1"/>
        <v>6</v>
      </c>
      <c r="E11" s="20">
        <f t="shared" si="2"/>
        <v>43832</v>
      </c>
      <c r="F11" s="20">
        <f t="shared" si="3"/>
        <v>45110</v>
      </c>
      <c r="G11" s="19" t="str">
        <f t="shared" si="4"/>
        <v>7</v>
      </c>
      <c r="H11" s="19">
        <f t="shared" si="5"/>
        <v>42</v>
      </c>
      <c r="I11" s="19">
        <f t="shared" si="6"/>
        <v>3</v>
      </c>
    </row>
    <row r="12" spans="1:9" x14ac:dyDescent="0.25">
      <c r="A12" t="s">
        <v>7</v>
      </c>
      <c r="C12" s="19" t="str">
        <f t="shared" si="0"/>
        <v>Red</v>
      </c>
      <c r="D12" s="19" t="str">
        <f t="shared" si="1"/>
        <v>7</v>
      </c>
      <c r="E12" s="20">
        <f t="shared" si="2"/>
        <v>42753</v>
      </c>
      <c r="F12" s="20">
        <f t="shared" si="3"/>
        <v>44230</v>
      </c>
      <c r="G12" s="19" t="str">
        <f t="shared" si="4"/>
        <v>6</v>
      </c>
      <c r="H12" s="19">
        <f t="shared" si="5"/>
        <v>48</v>
      </c>
      <c r="I12" s="19">
        <f t="shared" si="6"/>
        <v>4</v>
      </c>
    </row>
    <row r="13" spans="1:9" x14ac:dyDescent="0.25">
      <c r="A13" t="s">
        <v>8</v>
      </c>
      <c r="C13" s="19" t="str">
        <f t="shared" si="0"/>
        <v>Blue</v>
      </c>
      <c r="D13" s="19" t="str">
        <f t="shared" si="1"/>
        <v>8</v>
      </c>
      <c r="E13" s="20">
        <f t="shared" si="2"/>
        <v>43379</v>
      </c>
      <c r="F13" s="20">
        <f t="shared" si="3"/>
        <v>44568</v>
      </c>
      <c r="G13" s="19" t="str">
        <f t="shared" si="4"/>
        <v>5</v>
      </c>
      <c r="H13" s="19">
        <f t="shared" si="5"/>
        <v>39</v>
      </c>
      <c r="I13" s="19">
        <f t="shared" si="6"/>
        <v>3</v>
      </c>
    </row>
    <row r="15" spans="1:9" x14ac:dyDescent="0.25">
      <c r="E15" s="21"/>
    </row>
    <row r="17" spans="6:6" x14ac:dyDescent="0.25">
      <c r="F17" s="2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workbookViewId="0"/>
  </sheetViews>
  <sheetFormatPr defaultRowHeight="15" x14ac:dyDescent="0.25"/>
  <cols>
    <col min="1" max="2" width="20.85546875" customWidth="1"/>
    <col min="3" max="3" width="20.7109375" customWidth="1"/>
  </cols>
  <sheetData>
    <row r="1" spans="1:3" x14ac:dyDescent="0.25">
      <c r="A1" s="9" t="s">
        <v>22</v>
      </c>
      <c r="B1" s="10">
        <v>42136</v>
      </c>
    </row>
    <row r="2" spans="1:3" x14ac:dyDescent="0.25">
      <c r="A2" s="11" t="s">
        <v>23</v>
      </c>
      <c r="B2" s="12">
        <v>42258</v>
      </c>
    </row>
    <row r="3" spans="1:3" x14ac:dyDescent="0.25">
      <c r="A3" s="13" t="s">
        <v>25</v>
      </c>
      <c r="B3" s="14">
        <v>42149</v>
      </c>
    </row>
    <row r="4" spans="1:3" x14ac:dyDescent="0.25">
      <c r="A4" s="13" t="s">
        <v>26</v>
      </c>
      <c r="B4" s="14">
        <v>42189</v>
      </c>
    </row>
    <row r="5" spans="1:3" x14ac:dyDescent="0.25">
      <c r="A5" s="13" t="s">
        <v>27</v>
      </c>
      <c r="B5" s="14">
        <v>42254</v>
      </c>
    </row>
    <row r="7" spans="1:3" x14ac:dyDescent="0.25">
      <c r="A7" s="15" t="s">
        <v>24</v>
      </c>
      <c r="B7" s="15">
        <f>NETWORKDAYS(startDate,endDate,holidays)</f>
        <v>87</v>
      </c>
    </row>
    <row r="8" spans="1:3" s="38" customFormat="1" x14ac:dyDescent="0.25"/>
    <row r="9" spans="1:3" x14ac:dyDescent="0.25">
      <c r="A9" s="16" t="s">
        <v>28</v>
      </c>
      <c r="B9" s="17" t="s">
        <v>29</v>
      </c>
      <c r="C9" s="18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"/>
  <sheetViews>
    <sheetView workbookViewId="0"/>
  </sheetViews>
  <sheetFormatPr defaultRowHeight="15" x14ac:dyDescent="0.25"/>
  <cols>
    <col min="2" max="2" width="8.7109375" customWidth="1"/>
    <col min="3" max="4" width="13.85546875" customWidth="1"/>
    <col min="5" max="7" width="9.140625" customWidth="1"/>
  </cols>
  <sheetData>
    <row r="1" spans="2:7" ht="15.75" thickBot="1" x14ac:dyDescent="0.3"/>
    <row r="2" spans="2:7" ht="15.75" thickBot="1" x14ac:dyDescent="0.3">
      <c r="B2" s="32" t="s">
        <v>30</v>
      </c>
      <c r="C2" s="33" t="s">
        <v>32</v>
      </c>
      <c r="D2" s="34" t="s">
        <v>31</v>
      </c>
    </row>
    <row r="3" spans="2:7" x14ac:dyDescent="0.25">
      <c r="B3" s="29">
        <v>1</v>
      </c>
      <c r="C3" s="30">
        <v>41274</v>
      </c>
      <c r="D3" s="31">
        <v>-600</v>
      </c>
    </row>
    <row r="4" spans="2:7" x14ac:dyDescent="0.25">
      <c r="B4" s="22">
        <v>2</v>
      </c>
      <c r="C4" s="27">
        <v>41639</v>
      </c>
      <c r="D4" s="23">
        <v>550</v>
      </c>
    </row>
    <row r="5" spans="2:7" x14ac:dyDescent="0.25">
      <c r="B5" s="22">
        <v>3</v>
      </c>
      <c r="C5" s="27">
        <v>42004</v>
      </c>
      <c r="D5" s="23">
        <v>-680</v>
      </c>
    </row>
    <row r="6" spans="2:7" ht="15.75" thickBot="1" x14ac:dyDescent="0.3">
      <c r="B6" s="26">
        <v>4</v>
      </c>
      <c r="C6" s="28">
        <v>42369</v>
      </c>
      <c r="D6" s="25">
        <v>1000</v>
      </c>
    </row>
    <row r="7" spans="2:7" ht="15.75" thickBot="1" x14ac:dyDescent="0.3">
      <c r="B7" s="36" t="s">
        <v>33</v>
      </c>
      <c r="C7" s="37"/>
      <c r="D7" s="35">
        <f>XNPV(0.15,cashflows,dates)</f>
        <v>21.599408235390911</v>
      </c>
    </row>
    <row r="9" spans="2:7" x14ac:dyDescent="0.25">
      <c r="B9" s="16" t="s">
        <v>28</v>
      </c>
      <c r="C9" s="39" t="s">
        <v>34</v>
      </c>
      <c r="D9" s="39"/>
      <c r="E9" s="40"/>
      <c r="F9" s="40"/>
      <c r="G9" s="24"/>
    </row>
  </sheetData>
  <mergeCells count="2">
    <mergeCell ref="B7:C7"/>
    <mergeCell ref="C9:D9"/>
  </mergeCell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8E4BBD310ADB419B3C5F1ACE4D113D" ma:contentTypeVersion="1" ma:contentTypeDescription="Create a new document." ma:contentTypeScope="" ma:versionID="63e1bd94a874076348984a0131457edc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Props1.xml><?xml version="1.0" encoding="utf-8"?>
<ds:datastoreItem xmlns:ds="http://schemas.openxmlformats.org/officeDocument/2006/customXml" ds:itemID="{BCE02B71-CC42-4BD1-BD9C-BCE04927AA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07db4-bd3f-4f82-a312-bf7e283d0a6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545AE0F-BD70-426F-AE85-2ADC2419E0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C4C125-9E98-4CD7-BD97-74B6B67779E8}">
  <ds:schemaRefs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d1607db4-bd3f-4f82-a312-bf7e283d0a6b"/>
    <ds:schemaRef ds:uri="http://schemas.microsoft.com/office/2006/documentManagement/type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Documentation</vt:lpstr>
      <vt:lpstr>HW4 Q1</vt:lpstr>
      <vt:lpstr>HW4 Q2</vt:lpstr>
      <vt:lpstr>HW4 Q3</vt:lpstr>
      <vt:lpstr>cashflows</vt:lpstr>
      <vt:lpstr>dates</vt:lpstr>
      <vt:lpstr>endDate</vt:lpstr>
      <vt:lpstr>holidays</vt:lpstr>
      <vt:lpstr>startDate</vt:lpstr>
    </vt:vector>
  </TitlesOfParts>
  <Company>Kelley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T42</dc:creator>
  <cp:lastModifiedBy>Maciej Medyk</cp:lastModifiedBy>
  <dcterms:created xsi:type="dcterms:W3CDTF">2006-12-22T18:28:35Z</dcterms:created>
  <dcterms:modified xsi:type="dcterms:W3CDTF">2016-06-05T01:39:23Z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0x010100AF8E4BBD310ADB419B3C5F1ACE4D113D</vt:lpwstr>
  </property>
</Properties>
</file>