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Dropbox\Education\2016-2017\2016 Summer\ISM 6405\Homework\Homework 07 (2016-07-03) - Complete\Submittals\"/>
    </mc:Choice>
  </mc:AlternateContent>
  <bookViews>
    <workbookView xWindow="0" yWindow="0" windowWidth="28800" windowHeight="11835"/>
  </bookViews>
  <sheets>
    <sheet name="Documentation" sheetId="17" r:id="rId1"/>
    <sheet name="HW7 Q1A" sheetId="14" r:id="rId2"/>
    <sheet name="HW7 Q1B" sheetId="15" r:id="rId3"/>
    <sheet name="HW7 Q1C" sheetId="16" r:id="rId4"/>
    <sheet name="HW7 Q2" sheetId="12" r:id="rId5"/>
    <sheet name="HW7 Q3" sheetId="11" r:id="rId6"/>
    <sheet name="HW7 Q4" sheetId="13" r:id="rId7"/>
  </sheets>
  <definedNames>
    <definedName name="Kingslineups" localSheetId="4">'HW7 Q2'!$A$1:$J$19</definedName>
    <definedName name="Labor_Used">'HW7 Q1C'!$D$14</definedName>
    <definedName name="List_of_highest_grossing_films" localSheetId="5">'HW7 Q3'!$A$1:$F$52</definedName>
    <definedName name="Pounds_made">'HW7 Q1C'!$D$2</definedName>
    <definedName name="Pounds_made_Product1">'HW7 Q1C'!$D$2</definedName>
    <definedName name="Profit">'HW7 Q1C'!$D$12</definedName>
    <definedName name="Raw_Material_Used">'HW7 Q1C'!$D$15</definedName>
    <definedName name="solver_adj" localSheetId="1" hidden="1">'HW7 Q1A'!$D$2:$I$2</definedName>
    <definedName name="solver_adj" localSheetId="2" hidden="1">'HW7 Q1B'!$D$2:$I$2</definedName>
    <definedName name="solver_adj" localSheetId="3" hidden="1">'HW7 Q1C'!$D$2:$I$2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2</definedName>
    <definedName name="solver_eng" localSheetId="2" hidden="1">2</definedName>
    <definedName name="solver_eng" localSheetId="3" hidden="1">2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bd" localSheetId="1" hidden="1">2</definedName>
    <definedName name="solver_ibd" localSheetId="2" hidden="1">2</definedName>
    <definedName name="solver_ibd" localSheetId="3" hidden="1">2</definedName>
    <definedName name="solver_itr" localSheetId="1" hidden="1">100</definedName>
    <definedName name="solver_itr" localSheetId="2" hidden="1">100</definedName>
    <definedName name="solver_itr" localSheetId="3" hidden="1">100</definedName>
    <definedName name="solver_lhs1" localSheetId="1" hidden="1">'HW7 Q1A'!$D$14:$D$15</definedName>
    <definedName name="solver_lhs1" localSheetId="2" hidden="1">'HW7 Q1B'!$D$14:$D$15</definedName>
    <definedName name="solver_lhs1" localSheetId="3" hidden="1">'HW7 Q1C'!$D$14:$D$15</definedName>
    <definedName name="solver_lhs2" localSheetId="1" hidden="1">'HW7 Q1A'!$D$2:$I$2</definedName>
    <definedName name="solver_lhs2" localSheetId="2" hidden="1">'HW7 Q1B'!$D$2:$I$2</definedName>
    <definedName name="solver_lhs2" localSheetId="3" hidden="1">'HW7 Q1C'!$D$2:$I$2</definedName>
    <definedName name="solver_lhs3" localSheetId="1" hidden="1">'HW7 Q1A'!$D$2:$I$2</definedName>
    <definedName name="solver_lhs3" localSheetId="2" hidden="1">'HW7 Q1B'!$D$2:$I$2</definedName>
    <definedName name="solver_lhs3" localSheetId="3" hidden="1">'HW7 Q1C'!$D$2:$I$2</definedName>
    <definedName name="solver_lin" localSheetId="1" hidden="1">1</definedName>
    <definedName name="solver_lin" localSheetId="2" hidden="1">1</definedName>
    <definedName name="solver_lin" localSheetId="3" hidden="1">1</definedName>
    <definedName name="solver_lva" localSheetId="1" hidden="1">2</definedName>
    <definedName name="solver_lva" localSheetId="2" hidden="1">2</definedName>
    <definedName name="solver_lva" localSheetId="3" hidden="1">2</definedName>
    <definedName name="solver_mip" localSheetId="1" hidden="1">5000</definedName>
    <definedName name="solver_mip" localSheetId="2" hidden="1">5000</definedName>
    <definedName name="solver_mip" localSheetId="3" hidden="1">5000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neg" localSheetId="1" hidden="1">1</definedName>
    <definedName name="solver_neg" localSheetId="2" hidden="1">1</definedName>
    <definedName name="solver_neg" localSheetId="3" hidden="1">1</definedName>
    <definedName name="solver_nod" localSheetId="1" hidden="1">5000</definedName>
    <definedName name="solver_nod" localSheetId="2" hidden="1">5000</definedName>
    <definedName name="solver_nod" localSheetId="3" hidden="1">5000</definedName>
    <definedName name="solver_num" localSheetId="1" hidden="1">2</definedName>
    <definedName name="solver_num" localSheetId="2" hidden="1">2</definedName>
    <definedName name="solver_num" localSheetId="3" hidden="1">2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fx" localSheetId="1" hidden="1">2</definedName>
    <definedName name="solver_ofx" localSheetId="2" hidden="1">2</definedName>
    <definedName name="solver_ofx" localSheetId="3" hidden="1">2</definedName>
    <definedName name="solver_opt" localSheetId="1" hidden="1">'HW7 Q1A'!$D$12</definedName>
    <definedName name="solver_opt" localSheetId="2" hidden="1">'HW7 Q1B'!$D$12</definedName>
    <definedName name="solver_opt" localSheetId="3" hidden="1">'HW7 Q1C'!$D$12</definedName>
    <definedName name="solver_piv" localSheetId="1" hidden="1">0.000001</definedName>
    <definedName name="solver_piv" localSheetId="2" hidden="1">0.000001</definedName>
    <definedName name="solver_piv" localSheetId="3" hidden="1">0.000001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pro" localSheetId="1" hidden="1">2</definedName>
    <definedName name="solver_pro" localSheetId="2" hidden="1">2</definedName>
    <definedName name="solver_pro" localSheetId="3" hidden="1">2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d" localSheetId="1" hidden="1">0.000001</definedName>
    <definedName name="solver_red" localSheetId="2" hidden="1">0.000001</definedName>
    <definedName name="solver_red" localSheetId="3" hidden="1">0.000001</definedName>
    <definedName name="solver_rel1" localSheetId="1" hidden="1">1</definedName>
    <definedName name="solver_rel1" localSheetId="2" hidden="1">1</definedName>
    <definedName name="solver_rel1" localSheetId="3" hidden="1">1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3" localSheetId="1" hidden="1">1</definedName>
    <definedName name="solver_rel3" localSheetId="2" hidden="1">1</definedName>
    <definedName name="solver_rel3" localSheetId="3" hidden="1">1</definedName>
    <definedName name="solver_reo" localSheetId="1" hidden="1">2</definedName>
    <definedName name="solver_reo" localSheetId="2" hidden="1">2</definedName>
    <definedName name="solver_reo" localSheetId="3" hidden="1">2</definedName>
    <definedName name="solver_rep" localSheetId="1" hidden="1">2</definedName>
    <definedName name="solver_rep" localSheetId="2" hidden="1">2</definedName>
    <definedName name="solver_rep" localSheetId="3" hidden="1">2</definedName>
    <definedName name="solver_rhs1" localSheetId="1" hidden="1">'HW7 Q1A'!$F$14:$F$15</definedName>
    <definedName name="solver_rhs1" localSheetId="2" hidden="1">'HW7 Q1B'!$F$14:$F$15</definedName>
    <definedName name="solver_rhs1" localSheetId="3" hidden="1">'HW7 Q1C'!$F$14:$F$15</definedName>
    <definedName name="solver_rhs2" localSheetId="1" hidden="1">'HW7 Q1A'!$D$8:$I$8</definedName>
    <definedName name="solver_rhs2" localSheetId="2" hidden="1">'HW7 Q1B'!$D$8:$I$8</definedName>
    <definedName name="solver_rhs2" localSheetId="3" hidden="1">'HW7 Q1C'!$D$8:$I$8</definedName>
    <definedName name="solver_rhs3" localSheetId="1" hidden="1">'HW7 Q1A'!$D$8:$I$8</definedName>
    <definedName name="solver_rhs3" localSheetId="2" hidden="1">'HW7 Q1B'!$D$8:$I$8</definedName>
    <definedName name="solver_rhs3" localSheetId="3" hidden="1">'HW7 Q1C'!$D$8:$I$8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scl" localSheetId="1" hidden="1">2</definedName>
    <definedName name="solver_scl" localSheetId="2" hidden="1">2</definedName>
    <definedName name="solver_scl" localSheetId="3" hidden="1">2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std" localSheetId="1" hidden="1">1</definedName>
    <definedName name="solver_std" localSheetId="2" hidden="1">1</definedName>
    <definedName name="solver_std" localSheetId="3" hidden="1">1</definedName>
    <definedName name="solver_tim" localSheetId="1" hidden="1">100</definedName>
    <definedName name="solver_tim" localSheetId="2" hidden="1">100</definedName>
    <definedName name="solver_tim" localSheetId="3" hidden="1">100</definedName>
    <definedName name="solver_tol" localSheetId="1" hidden="1">0.05</definedName>
    <definedName name="solver_tol" localSheetId="2" hidden="1">0.05</definedName>
    <definedName name="solver_tol" localSheetId="3" hidden="1">0.05</definedName>
    <definedName name="solver_typ" localSheetId="1" hidden="1">1</definedName>
    <definedName name="solver_typ" localSheetId="2" hidden="1">1</definedName>
    <definedName name="solver_typ" localSheetId="3" hidden="1">1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2</definedName>
    <definedName name="solver_ver" localSheetId="2" hidden="1">2</definedName>
    <definedName name="solver_ver" localSheetId="3" hidden="1">2</definedName>
  </definedNames>
  <calcPr calcId="152511"/>
</workbook>
</file>

<file path=xl/calcChain.xml><?xml version="1.0" encoding="utf-8"?>
<calcChain xmlns="http://schemas.openxmlformats.org/spreadsheetml/2006/main">
  <c r="F15" i="16" l="1"/>
  <c r="D15" i="16"/>
  <c r="F14" i="16"/>
  <c r="D14" i="16"/>
  <c r="I9" i="16"/>
  <c r="H9" i="16"/>
  <c r="G9" i="16"/>
  <c r="F9" i="16"/>
  <c r="E9" i="16"/>
  <c r="D9" i="16"/>
  <c r="D12" i="16" s="1"/>
  <c r="F15" i="15"/>
  <c r="D15" i="15"/>
  <c r="F14" i="15"/>
  <c r="D14" i="15"/>
  <c r="I9" i="15"/>
  <c r="H9" i="15"/>
  <c r="G9" i="15"/>
  <c r="F9" i="15"/>
  <c r="D12" i="15" s="1"/>
  <c r="E9" i="15"/>
  <c r="D9" i="15"/>
  <c r="F15" i="14" l="1"/>
  <c r="D15" i="14"/>
  <c r="F14" i="14"/>
  <c r="D14" i="14"/>
  <c r="I9" i="14"/>
  <c r="H9" i="14"/>
  <c r="G9" i="14"/>
  <c r="F9" i="14"/>
  <c r="E9" i="14"/>
  <c r="D9" i="14"/>
  <c r="D12" i="14" s="1"/>
</calcChain>
</file>

<file path=xl/connections.xml><?xml version="1.0" encoding="utf-8"?>
<connections xmlns="http://schemas.openxmlformats.org/spreadsheetml/2006/main">
  <connection id="1" name="Kingslineups" type="6" refreshedVersion="5" background="1" saveData="1">
    <textPr codePage="1250" sourceFile="D:\Dropbox\Education\2016-2017\2016 Summer\ISM 6405\Homework\Homework 07 (2016-07-03) - Due\Data Files\Kingslineups.txt" delimited="0" tab="0">
      <textFields count="10">
        <textField/>
        <textField position="12"/>
        <textField position="24"/>
        <textField position="36"/>
        <textField position="48"/>
        <textField position="58"/>
        <textField position="67"/>
        <textField position="74"/>
        <textField position="81"/>
        <textField position="86"/>
      </textFields>
    </textPr>
  </connection>
  <connection id="2" name="Wikipedia_List_of_Highest-Grossing_Films" type="4" refreshedVersion="5" background="1" saveData="1">
    <webPr sourceData="1" parsePre="1" consecutive="1" xl2000="1" url="https://en.wikipedia.org/wiki/List_of_highest-grossing_films" htmlTables="1">
      <tables count="1">
        <x v="1"/>
      </tables>
    </webPr>
  </connection>
</connections>
</file>

<file path=xl/sharedStrings.xml><?xml version="1.0" encoding="utf-8"?>
<sst xmlns="http://schemas.openxmlformats.org/spreadsheetml/2006/main" count="331" uniqueCount="163">
  <si>
    <t>Product</t>
  </si>
  <si>
    <t>Labor</t>
  </si>
  <si>
    <t>Raw Material</t>
  </si>
  <si>
    <t>Available</t>
  </si>
  <si>
    <t>Unit price</t>
  </si>
  <si>
    <t>Variable cost</t>
  </si>
  <si>
    <t>Demand</t>
  </si>
  <si>
    <t>Unit profit cont.</t>
  </si>
  <si>
    <t>Pounds made</t>
  </si>
  <si>
    <t>Profit</t>
  </si>
  <si>
    <t>Labor Used</t>
  </si>
  <si>
    <t>Raw Material Used</t>
  </si>
  <si>
    <t>&lt;=</t>
  </si>
  <si>
    <t>Bibby</t>
  </si>
  <si>
    <t>Christie</t>
  </si>
  <si>
    <t>Divac</t>
  </si>
  <si>
    <t>Stojakovic</t>
  </si>
  <si>
    <t>Webber</t>
  </si>
  <si>
    <t>1009#</t>
  </si>
  <si>
    <t>17.65m</t>
  </si>
  <si>
    <t>HOU</t>
  </si>
  <si>
    <t>SAC*</t>
  </si>
  <si>
    <t>Clark</t>
  </si>
  <si>
    <t>B. Jackson</t>
  </si>
  <si>
    <t>Pollard</t>
  </si>
  <si>
    <t>Turkoglu</t>
  </si>
  <si>
    <t>J. Jackson</t>
  </si>
  <si>
    <t>7.75m</t>
  </si>
  <si>
    <t>7.68m</t>
  </si>
  <si>
    <t>6.08m</t>
  </si>
  <si>
    <t>3.32m</t>
  </si>
  <si>
    <t>2.17m</t>
  </si>
  <si>
    <t>2.15m</t>
  </si>
  <si>
    <t>0.67m</t>
  </si>
  <si>
    <t>0.46m</t>
  </si>
  <si>
    <t>0.07m</t>
  </si>
  <si>
    <t>1002#</t>
  </si>
  <si>
    <t>24.30m</t>
  </si>
  <si>
    <t>POR</t>
  </si>
  <si>
    <t>4.70m</t>
  </si>
  <si>
    <t>4.17m</t>
  </si>
  <si>
    <t>3.65m</t>
  </si>
  <si>
    <t>2.92m</t>
  </si>
  <si>
    <t>2.75m</t>
  </si>
  <si>
    <t>1.67m</t>
  </si>
  <si>
    <t>1.52m</t>
  </si>
  <si>
    <t>0.80m</t>
  </si>
  <si>
    <t>SAC</t>
  </si>
  <si>
    <t>Highest-grossing films[13]</t>
  </si>
  <si>
    <t>Rank</t>
  </si>
  <si>
    <t>Peak</t>
  </si>
  <si>
    <t>Title</t>
  </si>
  <si>
    <t>Worldwide gross</t>
  </si>
  <si>
    <t>Year</t>
  </si>
  <si>
    <t>Reference(s)</t>
  </si>
  <si>
    <t>Avatar</t>
  </si>
  <si>
    <t>[# 1][# 2]</t>
  </si>
  <si>
    <t>Titanic</t>
  </si>
  <si>
    <t>[# 3][# 4]</t>
  </si>
  <si>
    <t>Star Wars: The Force Awakens</t>
  </si>
  <si>
    <t>[# 5][# 6]</t>
  </si>
  <si>
    <t>Jurassic World</t>
  </si>
  <si>
    <t>[# 7][# 8]</t>
  </si>
  <si>
    <t>The Avengers</t>
  </si>
  <si>
    <t>[# 9][# 10]</t>
  </si>
  <si>
    <t>Furious 7</t>
  </si>
  <si>
    <t>[# 11][# 12]</t>
  </si>
  <si>
    <t>Avengers: Age of Ultron</t>
  </si>
  <si>
    <t>[# 13][# 12]</t>
  </si>
  <si>
    <t>Harry Potter and the Deathly Hallows – Part 2</t>
  </si>
  <si>
    <t>[# 14][# 15]</t>
  </si>
  <si>
    <t>9F</t>
  </si>
  <si>
    <t>Frozen</t>
  </si>
  <si>
    <t>[# 16][# 17]</t>
  </si>
  <si>
    <t>Iron Man 3</t>
  </si>
  <si>
    <t>[# 18][# 19]</t>
  </si>
  <si>
    <t>Minions</t>
  </si>
  <si>
    <t>[# 20][# 8]</t>
  </si>
  <si>
    <t>Captain America: Civil War film currently playing</t>
  </si>
  <si>
    <t>[# 21]</t>
  </si>
  <si>
    <t>Transformers: Dark of the Moon</t>
  </si>
  <si>
    <t>[# 22][# 15]</t>
  </si>
  <si>
    <t>The Lord of the Rings: The Return of the King</t>
  </si>
  <si>
    <t>[# 23][# 24]</t>
  </si>
  <si>
    <t>Skyfall</t>
  </si>
  <si>
    <t>[# 25][# 26]</t>
  </si>
  <si>
    <t>Transformers: Age of Extinction</t>
  </si>
  <si>
    <t>[# 27][# 28]</t>
  </si>
  <si>
    <t>The Dark Knight Rises</t>
  </si>
  <si>
    <t>[# 29][# 30]</t>
  </si>
  <si>
    <t>Pirates of the Caribbean: Dead Man's Chest</t>
  </si>
  <si>
    <t>[# 31][# 32]</t>
  </si>
  <si>
    <t>Toy Story 3</t>
  </si>
  <si>
    <t>[# 33][# 34]</t>
  </si>
  <si>
    <t>Pirates of the Caribbean: On Stranger Tides</t>
  </si>
  <si>
    <t>[# 35][# 36]</t>
  </si>
  <si>
    <t>Jurassic Park</t>
  </si>
  <si>
    <t>[# 37][# 38]</t>
  </si>
  <si>
    <t>Star Wars: Episode I – The Phantom Menace</t>
  </si>
  <si>
    <t>[# 39][# 4]</t>
  </si>
  <si>
    <t>Alice in Wonderland</t>
  </si>
  <si>
    <t>[# 40][# 41]</t>
  </si>
  <si>
    <t>The Hobbit: An Unexpected Journey</t>
  </si>
  <si>
    <t>[# 42][# 43]</t>
  </si>
  <si>
    <t>Zootopia film currently playing</t>
  </si>
  <si>
    <t>[# 44]</t>
  </si>
  <si>
    <t>The Dark Knight</t>
  </si>
  <si>
    <t>[# 45][# 46]</t>
  </si>
  <si>
    <t>Harry Potter and the Philosopher's Stone</t>
  </si>
  <si>
    <t>[# 47][# 48]</t>
  </si>
  <si>
    <t>19DM2</t>
  </si>
  <si>
    <t>Despicable Me 2</t>
  </si>
  <si>
    <t>[# 49][# 50]</t>
  </si>
  <si>
    <t>The Lion King</t>
  </si>
  <si>
    <t>[# 51][# 38]</t>
  </si>
  <si>
    <t>Pirates of the Caribbean: At World's End</t>
  </si>
  <si>
    <t>[# 52][# 53]</t>
  </si>
  <si>
    <t>Harry Potter and the Deathly Hallows – Part 1</t>
  </si>
  <si>
    <t>[# 54][# 55]</t>
  </si>
  <si>
    <t>The Hobbit: The Desolation of Smaug</t>
  </si>
  <si>
    <t>[# 56][# 57]</t>
  </si>
  <si>
    <t>The Hobbit: The Battle of the Five Armies</t>
  </si>
  <si>
    <t>[# 58][# 59]</t>
  </si>
  <si>
    <t>Harry Potter and the Order of the Phoenix</t>
  </si>
  <si>
    <t>[# 60][# 53]</t>
  </si>
  <si>
    <t>Finding Nemo</t>
  </si>
  <si>
    <t>[# 61][# 24]</t>
  </si>
  <si>
    <t>Harry Potter and the Half-Blood Prince</t>
  </si>
  <si>
    <t>[# 62][# 63]</t>
  </si>
  <si>
    <t>The Jungle Book film currently playing</t>
  </si>
  <si>
    <t>[# 64]</t>
  </si>
  <si>
    <t>The Lord of the Rings: The Two Towers</t>
  </si>
  <si>
    <t>[# 65][# 66]</t>
  </si>
  <si>
    <t>Shrek 2</t>
  </si>
  <si>
    <t>[# 67][# 68]</t>
  </si>
  <si>
    <t>Harry Potter and the Goblet of Fire</t>
  </si>
  <si>
    <t>[# 69][# 70]</t>
  </si>
  <si>
    <t>Spider-Man 3</t>
  </si>
  <si>
    <t>[# 71][# 72]</t>
  </si>
  <si>
    <t>Ice Age: Dawn of the Dinosaurs</t>
  </si>
  <si>
    <t>[# 73][# 63]</t>
  </si>
  <si>
    <t>Spectre</t>
  </si>
  <si>
    <t>[# 74][# 6]</t>
  </si>
  <si>
    <t>Harry Potter and the Chamber of Secrets</t>
  </si>
  <si>
    <t>[# 75][# 76]</t>
  </si>
  <si>
    <t>Ice Age: Continental Drift</t>
  </si>
  <si>
    <t>[# 77][# 30]</t>
  </si>
  <si>
    <t>Batman v Superman: Dawn of Justice</t>
  </si>
  <si>
    <t>[# 78][# 79]</t>
  </si>
  <si>
    <t>The Lord of the Rings: The Fellowship of the Ring</t>
  </si>
  <si>
    <t>[# 80][# 81]</t>
  </si>
  <si>
    <t>The Hunger Games: Catching Fire</t>
  </si>
  <si>
    <t>[# 82][# 83]</t>
  </si>
  <si>
    <t>Inside Out</t>
  </si>
  <si>
    <t>[# 84][# 8]</t>
  </si>
  <si>
    <t>Star Wars: Episode III – Revenge of the Sith</t>
  </si>
  <si>
    <t>[# 85][# 86]</t>
  </si>
  <si>
    <t xml:space="preserve">Author : </t>
  </si>
  <si>
    <t>Maciej Medyk</t>
  </si>
  <si>
    <t xml:space="preserve">Date &amp; Time Created : </t>
  </si>
  <si>
    <t xml:space="preserve">Date &amp; Time Completed : </t>
  </si>
  <si>
    <t xml:space="preserve">Purpose : </t>
  </si>
  <si>
    <t>Homework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</si>
</sst>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6" formatCode="&quot;$&quot;#,##0_);[Red]\(&quot;$&quot;#,##0\)"/>
    <numFmt numFmtId="44" formatCode="_(&quot;$&quot;* #,##0.00_);_(&quot;$&quot;* \(#,##0.00\);_(&quot;$&quot;* &quot;-&quot;??_);_(@_)"/>
  </numFmts>
  <fonts count="2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b/>
      <sz val="10"/>
      <name val="Arial"/>
      <family val="2"/>
    </font>
    <font>
      <sz val="10"/>
      <color rgb="FF000000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7CE"/>
        <bgColor rgb="FFFFC7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rgb="FFC6EFCE"/>
        <bgColor rgb="FFC6EFCE"/>
      </patternFill>
    </fill>
    <fill>
      <patternFill patternType="solid">
        <fgColor rgb="FFFFCC99"/>
        <bgColor rgb="FFFFCC99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6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3" fillId="21" borderId="0" applyNumberFormat="0" applyBorder="0" applyAlignment="0" applyProtection="0"/>
    <xf numFmtId="0" fontId="3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3" fillId="25" borderId="0" applyNumberFormat="0" applyBorder="0" applyAlignment="0" applyProtection="0"/>
    <xf numFmtId="0" fontId="5" fillId="26" borderId="0" applyNumberFormat="0" applyBorder="0" applyAlignment="0" applyProtection="0"/>
    <xf numFmtId="0" fontId="6" fillId="27" borderId="1" applyNumberFormat="0" applyAlignment="0" applyProtection="0"/>
    <xf numFmtId="0" fontId="7" fillId="28" borderId="2" applyNumberFormat="0" applyAlignment="0" applyProtection="0"/>
    <xf numFmtId="44" fontId="1" fillId="0" borderId="0" applyFont="0" applyFill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9" fillId="32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33" borderId="1" applyNumberFormat="0" applyAlignment="0" applyProtection="0"/>
    <xf numFmtId="0" fontId="14" fillId="0" borderId="6" applyNumberFormat="0" applyFill="0" applyAlignment="0" applyProtection="0"/>
    <xf numFmtId="0" fontId="15" fillId="34" borderId="0" applyNumberFormat="0" applyBorder="0" applyAlignment="0" applyProtection="0"/>
    <xf numFmtId="0" fontId="2" fillId="35" borderId="7" applyNumberFormat="0" applyFont="0" applyAlignment="0" applyProtection="0"/>
    <xf numFmtId="0" fontId="16" fillId="27" borderId="8" applyNumberFormat="0" applyAlignment="0" applyProtection="0"/>
    <xf numFmtId="0" fontId="17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" fillId="0" borderId="0"/>
  </cellStyleXfs>
  <cellXfs count="14">
    <xf numFmtId="0" fontId="0" fillId="0" borderId="0" xfId="0"/>
    <xf numFmtId="6" fontId="0" fillId="0" borderId="0" xfId="0" applyNumberFormat="1"/>
    <xf numFmtId="0" fontId="19" fillId="0" borderId="0" xfId="0" applyFont="1"/>
    <xf numFmtId="44" fontId="19" fillId="0" borderId="0" xfId="28" applyFont="1"/>
    <xf numFmtId="44" fontId="19" fillId="0" borderId="0" xfId="0" applyNumberFormat="1" applyFont="1"/>
    <xf numFmtId="0" fontId="19" fillId="36" borderId="0" xfId="0" applyFont="1" applyFill="1"/>
    <xf numFmtId="0" fontId="1" fillId="0" borderId="0" xfId="45"/>
    <xf numFmtId="22" fontId="1" fillId="0" borderId="0" xfId="45" applyNumberFormat="1"/>
    <xf numFmtId="0" fontId="1" fillId="0" borderId="0" xfId="45" applyAlignment="1">
      <alignment horizontal="right"/>
    </xf>
    <xf numFmtId="0" fontId="1" fillId="0" borderId="0" xfId="45" applyAlignment="1">
      <alignment horizontal="left"/>
    </xf>
    <xf numFmtId="0" fontId="1" fillId="0" borderId="0" xfId="45" applyAlignment="1">
      <alignment horizontal="right" wrapText="1"/>
    </xf>
    <xf numFmtId="22" fontId="1" fillId="0" borderId="0" xfId="45" applyNumberFormat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Currency" xfId="28" builtinId="4"/>
    <cellStyle name="Emphasis 1" xfId="29"/>
    <cellStyle name="Emphasis 2" xfId="30"/>
    <cellStyle name="Emphasis 3" xfId="31"/>
    <cellStyle name="Good" xfId="32" builtinId="26" customBuiltin="1"/>
    <cellStyle name="Heading 1" xfId="33" builtinId="16" customBuiltin="1"/>
    <cellStyle name="Heading 2" xfId="34" builtinId="17" customBuiltin="1"/>
    <cellStyle name="Heading 3" xfId="35" builtinId="18" customBuiltin="1"/>
    <cellStyle name="Heading 4" xfId="36" builtinId="19" customBuiltin="1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166686</xdr:colOff>
      <xdr:row>19</xdr:row>
      <xdr:rowOff>119062</xdr:rowOff>
    </xdr:from>
    <xdr:to>
      <xdr:col>9</xdr:col>
      <xdr:colOff>440530</xdr:colOff>
      <xdr:row>34</xdr:row>
      <xdr:rowOff>85725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3905" y="3286125"/>
          <a:ext cx="6238875" cy="2466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154781</xdr:colOff>
      <xdr:row>19</xdr:row>
      <xdr:rowOff>95250</xdr:rowOff>
    </xdr:from>
    <xdr:to>
      <xdr:col>9</xdr:col>
      <xdr:colOff>428625</xdr:colOff>
      <xdr:row>34</xdr:row>
      <xdr:rowOff>71438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0" y="3262313"/>
          <a:ext cx="6238875" cy="2476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20</xdr:row>
      <xdr:rowOff>0</xdr:rowOff>
    </xdr:from>
    <xdr:to>
      <xdr:col>7</xdr:col>
      <xdr:colOff>264319</xdr:colOff>
      <xdr:row>41</xdr:row>
      <xdr:rowOff>9525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0594" y="3333750"/>
          <a:ext cx="4657725" cy="3509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152400</xdr:rowOff>
        </xdr:from>
        <xdr:to>
          <xdr:col>5</xdr:col>
          <xdr:colOff>0</xdr:colOff>
          <xdr:row>6</xdr:row>
          <xdr:rowOff>152400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Kingslineups" connectionId="1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List_of_highest-grossing_films" connectionId="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"/>
  <sheetViews>
    <sheetView tabSelected="1" workbookViewId="0"/>
  </sheetViews>
  <sheetFormatPr defaultRowHeight="12.75" x14ac:dyDescent="0.2"/>
  <cols>
    <col min="1" max="1" width="15.7109375" style="6" customWidth="1"/>
    <col min="2" max="2" width="30.7109375" style="6" customWidth="1"/>
    <col min="3" max="16384" width="9.140625" style="6"/>
  </cols>
  <sheetData>
    <row r="1" spans="1:5" x14ac:dyDescent="0.2">
      <c r="E1" s="7"/>
    </row>
    <row r="4" spans="1:5" x14ac:dyDescent="0.2">
      <c r="A4" s="8" t="s">
        <v>157</v>
      </c>
      <c r="B4" s="9" t="s">
        <v>158</v>
      </c>
    </row>
    <row r="5" spans="1:5" ht="25.5" x14ac:dyDescent="0.2">
      <c r="A5" s="10" t="s">
        <v>159</v>
      </c>
      <c r="B5" s="11">
        <v>42549.974710648145</v>
      </c>
    </row>
    <row r="6" spans="1:5" ht="25.5" x14ac:dyDescent="0.2">
      <c r="A6" s="10" t="s">
        <v>160</v>
      </c>
      <c r="B6" s="11">
        <v>42550.050833333335</v>
      </c>
    </row>
    <row r="7" spans="1:5" x14ac:dyDescent="0.2">
      <c r="A7" s="8"/>
      <c r="B7" s="9"/>
    </row>
    <row r="8" spans="1:5" x14ac:dyDescent="0.2">
      <c r="A8" s="8" t="s">
        <v>161</v>
      </c>
      <c r="B8" s="9" t="s">
        <v>162</v>
      </c>
    </row>
    <row r="9" spans="1:5" x14ac:dyDescent="0.2">
      <c r="B9" s="7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J35"/>
  <sheetViews>
    <sheetView zoomScale="80" workbookViewId="0"/>
  </sheetViews>
  <sheetFormatPr defaultColWidth="9.140625" defaultRowHeight="12.75" x14ac:dyDescent="0.2"/>
  <cols>
    <col min="1" max="1" width="9.140625" style="2"/>
    <col min="2" max="2" width="9.28515625" style="2" bestFit="1" customWidth="1"/>
    <col min="3" max="3" width="22.42578125" style="2" customWidth="1"/>
    <col min="4" max="4" width="11.28515625" style="2" bestFit="1" customWidth="1"/>
    <col min="5" max="9" width="9.28515625" style="2" bestFit="1" customWidth="1"/>
    <col min="10" max="16384" width="9.140625" style="2"/>
  </cols>
  <sheetData>
    <row r="2" spans="2:9" x14ac:dyDescent="0.2">
      <c r="C2" s="2" t="s">
        <v>8</v>
      </c>
      <c r="D2" s="2">
        <v>150</v>
      </c>
      <c r="E2" s="2">
        <v>160</v>
      </c>
      <c r="F2" s="2">
        <v>170</v>
      </c>
      <c r="G2" s="2">
        <v>180</v>
      </c>
      <c r="H2" s="2">
        <v>190</v>
      </c>
      <c r="I2" s="2">
        <v>200</v>
      </c>
    </row>
    <row r="3" spans="2:9" x14ac:dyDescent="0.2">
      <c r="B3" s="2" t="s">
        <v>3</v>
      </c>
      <c r="C3" s="2" t="s">
        <v>0</v>
      </c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</row>
    <row r="4" spans="2:9" x14ac:dyDescent="0.2">
      <c r="B4" s="2">
        <v>4500</v>
      </c>
      <c r="C4" s="2" t="s">
        <v>1</v>
      </c>
      <c r="D4" s="2">
        <v>6</v>
      </c>
      <c r="E4" s="2">
        <v>5</v>
      </c>
      <c r="F4" s="2">
        <v>4</v>
      </c>
      <c r="G4" s="2">
        <v>3</v>
      </c>
      <c r="H4" s="2">
        <v>2.5</v>
      </c>
      <c r="I4" s="2">
        <v>1.5</v>
      </c>
    </row>
    <row r="5" spans="2:9" x14ac:dyDescent="0.2">
      <c r="B5" s="2">
        <v>1600</v>
      </c>
      <c r="C5" s="2" t="s">
        <v>2</v>
      </c>
      <c r="D5" s="2">
        <v>3.2</v>
      </c>
      <c r="E5" s="2">
        <v>2.6</v>
      </c>
      <c r="F5" s="2">
        <v>1.5</v>
      </c>
      <c r="G5" s="2">
        <v>0.8</v>
      </c>
      <c r="H5" s="2">
        <v>0.7</v>
      </c>
      <c r="I5" s="2">
        <v>0.3</v>
      </c>
    </row>
    <row r="6" spans="2:9" x14ac:dyDescent="0.2">
      <c r="C6" s="2" t="s">
        <v>4</v>
      </c>
      <c r="D6" s="3">
        <v>12.5</v>
      </c>
      <c r="E6" s="3">
        <v>11</v>
      </c>
      <c r="F6" s="3">
        <v>9</v>
      </c>
      <c r="G6" s="3">
        <v>7</v>
      </c>
      <c r="H6" s="3">
        <v>6</v>
      </c>
      <c r="I6" s="3">
        <v>3</v>
      </c>
    </row>
    <row r="7" spans="2:9" x14ac:dyDescent="0.2">
      <c r="C7" s="2" t="s">
        <v>5</v>
      </c>
      <c r="D7" s="3">
        <v>6.5</v>
      </c>
      <c r="E7" s="3">
        <v>5.7</v>
      </c>
      <c r="F7" s="3">
        <v>3.6</v>
      </c>
      <c r="G7" s="3">
        <v>2.8</v>
      </c>
      <c r="H7" s="3">
        <v>2.2000000000000002</v>
      </c>
      <c r="I7" s="3">
        <v>1.2</v>
      </c>
    </row>
    <row r="8" spans="2:9" x14ac:dyDescent="0.2">
      <c r="C8" s="2" t="s">
        <v>6</v>
      </c>
      <c r="D8" s="2">
        <v>960</v>
      </c>
      <c r="E8" s="2">
        <v>928</v>
      </c>
      <c r="F8" s="2">
        <v>1041</v>
      </c>
      <c r="G8" s="2">
        <v>977</v>
      </c>
      <c r="H8" s="2">
        <v>1084</v>
      </c>
      <c r="I8" s="2">
        <v>1055</v>
      </c>
    </row>
    <row r="9" spans="2:9" x14ac:dyDescent="0.2">
      <c r="C9" s="2" t="s">
        <v>7</v>
      </c>
      <c r="D9" s="4">
        <f t="shared" ref="D9:I9" si="0">D6-D7</f>
        <v>6</v>
      </c>
      <c r="E9" s="4">
        <f t="shared" si="0"/>
        <v>5.3</v>
      </c>
      <c r="F9" s="4">
        <f t="shared" si="0"/>
        <v>5.4</v>
      </c>
      <c r="G9" s="4">
        <f t="shared" si="0"/>
        <v>4.2</v>
      </c>
      <c r="H9" s="4">
        <f t="shared" si="0"/>
        <v>3.8</v>
      </c>
      <c r="I9" s="4">
        <f t="shared" si="0"/>
        <v>1.8</v>
      </c>
    </row>
    <row r="12" spans="2:9" x14ac:dyDescent="0.2">
      <c r="C12" s="2" t="s">
        <v>9</v>
      </c>
      <c r="D12" s="3">
        <f>SUMPRODUCT(D9:I9,$D$2:$I$2)</f>
        <v>4504</v>
      </c>
    </row>
    <row r="13" spans="2:9" x14ac:dyDescent="0.2">
      <c r="F13" s="2" t="s">
        <v>3</v>
      </c>
    </row>
    <row r="14" spans="2:9" x14ac:dyDescent="0.2">
      <c r="C14" s="2" t="s">
        <v>10</v>
      </c>
      <c r="D14" s="2">
        <f>SUMPRODUCT($D$2:$I$2,D4:I4)</f>
        <v>3695</v>
      </c>
      <c r="E14" s="2" t="s">
        <v>12</v>
      </c>
      <c r="F14" s="2">
        <f>B4</f>
        <v>4500</v>
      </c>
    </row>
    <row r="15" spans="2:9" x14ac:dyDescent="0.2">
      <c r="C15" s="2" t="s">
        <v>11</v>
      </c>
      <c r="D15" s="2">
        <f>SUMPRODUCT($D$2:$I$2,D5:I5)</f>
        <v>1488</v>
      </c>
      <c r="E15" s="2" t="s">
        <v>12</v>
      </c>
      <c r="F15" s="2">
        <f>B5</f>
        <v>1600</v>
      </c>
    </row>
    <row r="20" spans="2:10" x14ac:dyDescent="0.2">
      <c r="B20" s="5"/>
      <c r="C20" s="5"/>
      <c r="D20" s="5"/>
      <c r="E20" s="5"/>
      <c r="F20" s="5"/>
      <c r="G20" s="5"/>
      <c r="H20" s="5"/>
      <c r="I20" s="5"/>
      <c r="J20" s="5"/>
    </row>
    <row r="21" spans="2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2:10" x14ac:dyDescent="0.2">
      <c r="B22" s="5"/>
      <c r="C22" s="5"/>
      <c r="D22" s="5"/>
      <c r="E22" s="5"/>
      <c r="F22" s="5"/>
      <c r="G22" s="5"/>
      <c r="H22" s="5"/>
      <c r="I22" s="5"/>
      <c r="J22" s="5"/>
    </row>
    <row r="23" spans="2:10" x14ac:dyDescent="0.2">
      <c r="B23" s="5"/>
      <c r="C23" s="5"/>
      <c r="D23" s="5"/>
      <c r="E23" s="5"/>
      <c r="F23" s="5"/>
      <c r="G23" s="5"/>
      <c r="H23" s="5"/>
      <c r="I23" s="5"/>
      <c r="J23" s="5"/>
    </row>
    <row r="24" spans="2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2:10" x14ac:dyDescent="0.2">
      <c r="B25" s="5"/>
      <c r="C25" s="5"/>
      <c r="D25" s="5"/>
      <c r="E25" s="5"/>
      <c r="F25" s="5"/>
      <c r="G25" s="5"/>
      <c r="H25" s="5"/>
      <c r="I25" s="5"/>
      <c r="J25" s="5"/>
    </row>
    <row r="26" spans="2:10" x14ac:dyDescent="0.2">
      <c r="B26" s="5"/>
      <c r="C26" s="5"/>
      <c r="D26" s="5"/>
      <c r="E26" s="5"/>
      <c r="F26" s="5"/>
      <c r="G26" s="5"/>
      <c r="H26" s="5"/>
      <c r="I26" s="5"/>
      <c r="J26" s="5"/>
    </row>
    <row r="27" spans="2:10" x14ac:dyDescent="0.2">
      <c r="B27" s="5"/>
      <c r="C27" s="5"/>
      <c r="D27" s="5"/>
      <c r="E27" s="5"/>
      <c r="F27" s="5"/>
      <c r="G27" s="5"/>
      <c r="H27" s="5"/>
      <c r="I27" s="5"/>
      <c r="J27" s="5"/>
    </row>
    <row r="28" spans="2:10" x14ac:dyDescent="0.2">
      <c r="B28" s="5"/>
      <c r="C28" s="5"/>
      <c r="D28" s="5"/>
      <c r="E28" s="5"/>
      <c r="F28" s="5"/>
      <c r="G28" s="5"/>
      <c r="H28" s="5"/>
      <c r="I28" s="5"/>
      <c r="J28" s="5"/>
    </row>
    <row r="29" spans="2:10" x14ac:dyDescent="0.2">
      <c r="B29" s="5"/>
      <c r="C29" s="5"/>
      <c r="D29" s="5"/>
      <c r="E29" s="5"/>
      <c r="F29" s="5"/>
      <c r="G29" s="5"/>
      <c r="H29" s="5"/>
      <c r="I29" s="5"/>
      <c r="J29" s="5"/>
    </row>
    <row r="30" spans="2:10" x14ac:dyDescent="0.2">
      <c r="B30" s="5"/>
      <c r="C30" s="5"/>
      <c r="D30" s="5"/>
      <c r="E30" s="5"/>
      <c r="F30" s="5"/>
      <c r="G30" s="5"/>
      <c r="H30" s="5"/>
      <c r="I30" s="5"/>
      <c r="J30" s="5"/>
    </row>
    <row r="31" spans="2:10" x14ac:dyDescent="0.2">
      <c r="B31" s="5"/>
      <c r="C31" s="5"/>
      <c r="D31" s="5"/>
      <c r="E31" s="5"/>
      <c r="F31" s="5"/>
      <c r="G31" s="5"/>
      <c r="H31" s="5"/>
      <c r="I31" s="5"/>
      <c r="J31" s="5"/>
    </row>
    <row r="32" spans="2:10" x14ac:dyDescent="0.2">
      <c r="B32" s="5"/>
      <c r="C32" s="5"/>
      <c r="D32" s="5"/>
      <c r="E32" s="5"/>
      <c r="F32" s="5"/>
      <c r="G32" s="5"/>
      <c r="H32" s="5"/>
      <c r="I32" s="5"/>
      <c r="J32" s="5"/>
    </row>
    <row r="33" spans="2:10" x14ac:dyDescent="0.2">
      <c r="B33" s="5"/>
      <c r="C33" s="5"/>
      <c r="D33" s="5"/>
      <c r="E33" s="5"/>
      <c r="F33" s="5"/>
      <c r="G33" s="5"/>
      <c r="H33" s="5"/>
      <c r="I33" s="5"/>
      <c r="J33" s="5"/>
    </row>
    <row r="34" spans="2:10" x14ac:dyDescent="0.2">
      <c r="B34" s="5"/>
      <c r="C34" s="5"/>
      <c r="D34" s="5"/>
      <c r="E34" s="5"/>
      <c r="F34" s="5"/>
      <c r="G34" s="5"/>
      <c r="H34" s="5"/>
      <c r="I34" s="5"/>
      <c r="J34" s="5"/>
    </row>
    <row r="35" spans="2:10" x14ac:dyDescent="0.2">
      <c r="B35" s="5"/>
      <c r="C35" s="5"/>
      <c r="D35" s="5"/>
      <c r="E35" s="5"/>
      <c r="F35" s="5"/>
      <c r="G35" s="5"/>
      <c r="H35" s="5"/>
      <c r="I35" s="5"/>
      <c r="J35" s="5"/>
    </row>
  </sheetData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35"/>
  <sheetViews>
    <sheetView zoomScale="80" workbookViewId="0"/>
  </sheetViews>
  <sheetFormatPr defaultColWidth="9.140625" defaultRowHeight="12.75" x14ac:dyDescent="0.2"/>
  <cols>
    <col min="1" max="1" width="9.140625" style="2"/>
    <col min="2" max="2" width="9.28515625" style="2" bestFit="1" customWidth="1"/>
    <col min="3" max="3" width="22.42578125" style="2" customWidth="1"/>
    <col min="4" max="4" width="11.28515625" style="2" bestFit="1" customWidth="1"/>
    <col min="5" max="9" width="9.28515625" style="2" bestFit="1" customWidth="1"/>
    <col min="10" max="16384" width="9.140625" style="2"/>
  </cols>
  <sheetData>
    <row r="2" spans="2:9" x14ac:dyDescent="0.2">
      <c r="C2" s="2" t="s">
        <v>8</v>
      </c>
      <c r="D2" s="2">
        <v>150</v>
      </c>
      <c r="E2" s="2">
        <v>160</v>
      </c>
      <c r="F2" s="2">
        <v>170</v>
      </c>
      <c r="G2" s="2">
        <v>180</v>
      </c>
      <c r="H2" s="2">
        <v>190</v>
      </c>
      <c r="I2" s="2">
        <v>200</v>
      </c>
    </row>
    <row r="3" spans="2:9" x14ac:dyDescent="0.2">
      <c r="B3" s="2" t="s">
        <v>3</v>
      </c>
      <c r="C3" s="2" t="s">
        <v>0</v>
      </c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</row>
    <row r="4" spans="2:9" x14ac:dyDescent="0.2">
      <c r="B4" s="2">
        <v>4500</v>
      </c>
      <c r="C4" s="2" t="s">
        <v>1</v>
      </c>
      <c r="D4" s="2">
        <v>6</v>
      </c>
      <c r="E4" s="2">
        <v>5</v>
      </c>
      <c r="F4" s="2">
        <v>4</v>
      </c>
      <c r="G4" s="2">
        <v>3</v>
      </c>
      <c r="H4" s="2">
        <v>2.5</v>
      </c>
      <c r="I4" s="2">
        <v>1.5</v>
      </c>
    </row>
    <row r="5" spans="2:9" x14ac:dyDescent="0.2">
      <c r="B5" s="2">
        <v>1600</v>
      </c>
      <c r="C5" s="2" t="s">
        <v>2</v>
      </c>
      <c r="D5" s="2">
        <v>3.2</v>
      </c>
      <c r="E5" s="2">
        <v>2.6</v>
      </c>
      <c r="F5" s="2">
        <v>1.5</v>
      </c>
      <c r="G5" s="2">
        <v>0.8</v>
      </c>
      <c r="H5" s="2">
        <v>0.7</v>
      </c>
      <c r="I5" s="2">
        <v>0.3</v>
      </c>
    </row>
    <row r="6" spans="2:9" x14ac:dyDescent="0.2">
      <c r="C6" s="2" t="s">
        <v>4</v>
      </c>
      <c r="D6" s="3">
        <v>12.5</v>
      </c>
      <c r="E6" s="3">
        <v>11</v>
      </c>
      <c r="F6" s="3">
        <v>9</v>
      </c>
      <c r="G6" s="3">
        <v>7</v>
      </c>
      <c r="H6" s="3">
        <v>6</v>
      </c>
      <c r="I6" s="3">
        <v>3</v>
      </c>
    </row>
    <row r="7" spans="2:9" x14ac:dyDescent="0.2">
      <c r="C7" s="2" t="s">
        <v>5</v>
      </c>
      <c r="D7" s="3">
        <v>6.5</v>
      </c>
      <c r="E7" s="3">
        <v>5.7</v>
      </c>
      <c r="F7" s="3">
        <v>3.6</v>
      </c>
      <c r="G7" s="3">
        <v>2.8</v>
      </c>
      <c r="H7" s="3">
        <v>2.2000000000000002</v>
      </c>
      <c r="I7" s="3">
        <v>1.2</v>
      </c>
    </row>
    <row r="8" spans="2:9" x14ac:dyDescent="0.2">
      <c r="C8" s="2" t="s">
        <v>6</v>
      </c>
      <c r="D8" s="2">
        <v>960</v>
      </c>
      <c r="E8" s="2">
        <v>928</v>
      </c>
      <c r="F8" s="2">
        <v>1041</v>
      </c>
      <c r="G8" s="2">
        <v>977</v>
      </c>
      <c r="H8" s="2">
        <v>1084</v>
      </c>
      <c r="I8" s="2">
        <v>1055</v>
      </c>
    </row>
    <row r="9" spans="2:9" x14ac:dyDescent="0.2">
      <c r="C9" s="2" t="s">
        <v>7</v>
      </c>
      <c r="D9" s="4">
        <f t="shared" ref="D9:I9" si="0">D6-D7</f>
        <v>6</v>
      </c>
      <c r="E9" s="4">
        <f t="shared" si="0"/>
        <v>5.3</v>
      </c>
      <c r="F9" s="4">
        <f t="shared" si="0"/>
        <v>5.4</v>
      </c>
      <c r="G9" s="4">
        <f t="shared" si="0"/>
        <v>4.2</v>
      </c>
      <c r="H9" s="4">
        <f t="shared" si="0"/>
        <v>3.8</v>
      </c>
      <c r="I9" s="4">
        <f t="shared" si="0"/>
        <v>1.8</v>
      </c>
    </row>
    <row r="12" spans="2:9" x14ac:dyDescent="0.2">
      <c r="C12" s="2" t="s">
        <v>9</v>
      </c>
      <c r="D12" s="3">
        <f>SUMPRODUCT(D9:I9,$D$2:$I$2)</f>
        <v>4504</v>
      </c>
    </row>
    <row r="13" spans="2:9" x14ac:dyDescent="0.2">
      <c r="F13" s="2" t="s">
        <v>3</v>
      </c>
    </row>
    <row r="14" spans="2:9" x14ac:dyDescent="0.2">
      <c r="C14" s="2" t="s">
        <v>10</v>
      </c>
      <c r="D14" s="2">
        <f>SUMPRODUCT($D$2:$I$2,D4:I4)</f>
        <v>3695</v>
      </c>
      <c r="E14" s="2" t="s">
        <v>12</v>
      </c>
      <c r="F14" s="2">
        <f>B4</f>
        <v>4500</v>
      </c>
    </row>
    <row r="15" spans="2:9" x14ac:dyDescent="0.2">
      <c r="C15" s="2" t="s">
        <v>11</v>
      </c>
      <c r="D15" s="2">
        <f>SUMPRODUCT($D$2:$I$2,D5:I5)</f>
        <v>1488</v>
      </c>
      <c r="E15" s="2" t="s">
        <v>12</v>
      </c>
      <c r="F15" s="2">
        <f>B5</f>
        <v>1600</v>
      </c>
    </row>
    <row r="20" spans="2:10" x14ac:dyDescent="0.2">
      <c r="B20" s="5"/>
      <c r="C20" s="5"/>
      <c r="D20" s="5"/>
      <c r="E20" s="5"/>
      <c r="F20" s="5"/>
      <c r="G20" s="5"/>
      <c r="H20" s="5"/>
      <c r="I20" s="5"/>
      <c r="J20" s="5"/>
    </row>
    <row r="21" spans="2:10" x14ac:dyDescent="0.2">
      <c r="B21" s="5"/>
      <c r="C21" s="5"/>
      <c r="D21" s="5"/>
      <c r="E21" s="5"/>
      <c r="F21" s="5"/>
      <c r="G21" s="5"/>
      <c r="H21" s="5"/>
      <c r="I21" s="5"/>
      <c r="J21" s="5"/>
    </row>
    <row r="22" spans="2:10" x14ac:dyDescent="0.2">
      <c r="B22" s="5"/>
      <c r="C22" s="5"/>
      <c r="D22" s="5"/>
      <c r="E22" s="5"/>
      <c r="F22" s="5"/>
      <c r="G22" s="5"/>
      <c r="H22" s="5"/>
      <c r="I22" s="5"/>
      <c r="J22" s="5"/>
    </row>
    <row r="23" spans="2:10" x14ac:dyDescent="0.2">
      <c r="B23" s="5"/>
      <c r="C23" s="5"/>
      <c r="D23" s="5"/>
      <c r="E23" s="5"/>
      <c r="F23" s="5"/>
      <c r="G23" s="5"/>
      <c r="H23" s="5"/>
      <c r="I23" s="5"/>
      <c r="J23" s="5"/>
    </row>
    <row r="24" spans="2:10" x14ac:dyDescent="0.2">
      <c r="B24" s="5"/>
      <c r="C24" s="5"/>
      <c r="D24" s="5"/>
      <c r="E24" s="5"/>
      <c r="F24" s="5"/>
      <c r="G24" s="5"/>
      <c r="H24" s="5"/>
      <c r="I24" s="5"/>
      <c r="J24" s="5"/>
    </row>
    <row r="25" spans="2:10" x14ac:dyDescent="0.2">
      <c r="B25" s="5"/>
      <c r="C25" s="5"/>
      <c r="D25" s="5"/>
      <c r="E25" s="5"/>
      <c r="F25" s="5"/>
      <c r="G25" s="5"/>
      <c r="H25" s="5"/>
      <c r="I25" s="5"/>
      <c r="J25" s="5"/>
    </row>
    <row r="26" spans="2:10" x14ac:dyDescent="0.2">
      <c r="B26" s="5"/>
      <c r="C26" s="5"/>
      <c r="D26" s="5"/>
      <c r="E26" s="5"/>
      <c r="F26" s="5"/>
      <c r="G26" s="5"/>
      <c r="H26" s="5"/>
      <c r="I26" s="5"/>
      <c r="J26" s="5"/>
    </row>
    <row r="27" spans="2:10" x14ac:dyDescent="0.2">
      <c r="B27" s="5"/>
      <c r="C27" s="5"/>
      <c r="D27" s="5"/>
      <c r="E27" s="5"/>
      <c r="F27" s="5"/>
      <c r="G27" s="5"/>
      <c r="H27" s="5"/>
      <c r="I27" s="5"/>
      <c r="J27" s="5"/>
    </row>
    <row r="28" spans="2:10" x14ac:dyDescent="0.2">
      <c r="B28" s="5"/>
      <c r="C28" s="5"/>
      <c r="D28" s="5"/>
      <c r="E28" s="5"/>
      <c r="F28" s="5"/>
      <c r="G28" s="5"/>
      <c r="H28" s="5"/>
      <c r="I28" s="5"/>
      <c r="J28" s="5"/>
    </row>
    <row r="29" spans="2:10" x14ac:dyDescent="0.2">
      <c r="B29" s="5"/>
      <c r="C29" s="5"/>
      <c r="D29" s="5"/>
      <c r="E29" s="5"/>
      <c r="F29" s="5"/>
      <c r="G29" s="5"/>
      <c r="H29" s="5"/>
      <c r="I29" s="5"/>
      <c r="J29" s="5"/>
    </row>
    <row r="30" spans="2:10" x14ac:dyDescent="0.2">
      <c r="B30" s="5"/>
      <c r="C30" s="5"/>
      <c r="D30" s="5"/>
      <c r="E30" s="5"/>
      <c r="F30" s="5"/>
      <c r="G30" s="5"/>
      <c r="H30" s="5"/>
      <c r="I30" s="5"/>
      <c r="J30" s="5"/>
    </row>
    <row r="31" spans="2:10" x14ac:dyDescent="0.2">
      <c r="B31" s="5"/>
      <c r="C31" s="5"/>
      <c r="D31" s="5"/>
      <c r="E31" s="5"/>
      <c r="F31" s="5"/>
      <c r="G31" s="5"/>
      <c r="H31" s="5"/>
      <c r="I31" s="5"/>
      <c r="J31" s="5"/>
    </row>
    <row r="32" spans="2:10" x14ac:dyDescent="0.2">
      <c r="B32" s="5"/>
      <c r="C32" s="5"/>
      <c r="D32" s="5"/>
      <c r="E32" s="5"/>
      <c r="F32" s="5"/>
      <c r="G32" s="5"/>
      <c r="H32" s="5"/>
      <c r="I32" s="5"/>
      <c r="J32" s="5"/>
    </row>
    <row r="33" spans="2:10" x14ac:dyDescent="0.2">
      <c r="B33" s="5"/>
      <c r="C33" s="5"/>
      <c r="D33" s="5"/>
      <c r="E33" s="5"/>
      <c r="F33" s="5"/>
      <c r="G33" s="5"/>
      <c r="H33" s="5"/>
      <c r="I33" s="5"/>
      <c r="J33" s="5"/>
    </row>
    <row r="34" spans="2:10" x14ac:dyDescent="0.2">
      <c r="B34" s="5"/>
      <c r="C34" s="5"/>
      <c r="D34" s="5"/>
      <c r="E34" s="5"/>
      <c r="F34" s="5"/>
      <c r="G34" s="5"/>
      <c r="H34" s="5"/>
      <c r="I34" s="5"/>
      <c r="J34" s="5"/>
    </row>
    <row r="35" spans="2:10" x14ac:dyDescent="0.2">
      <c r="B35" s="5"/>
      <c r="C35" s="5"/>
      <c r="D35" s="5"/>
      <c r="E35" s="5"/>
      <c r="F35" s="5"/>
      <c r="G35" s="5"/>
      <c r="H35" s="5"/>
      <c r="I35" s="5"/>
      <c r="J35" s="5"/>
    </row>
  </sheetData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K42"/>
  <sheetViews>
    <sheetView zoomScale="80" workbookViewId="0"/>
  </sheetViews>
  <sheetFormatPr defaultColWidth="9.140625" defaultRowHeight="12.75" x14ac:dyDescent="0.2"/>
  <cols>
    <col min="1" max="1" width="9.140625" style="2"/>
    <col min="2" max="2" width="9.28515625" style="2" bestFit="1" customWidth="1"/>
    <col min="3" max="3" width="22.42578125" style="2" customWidth="1"/>
    <col min="4" max="4" width="11.28515625" style="2" bestFit="1" customWidth="1"/>
    <col min="5" max="9" width="9.28515625" style="2" bestFit="1" customWidth="1"/>
    <col min="10" max="16384" width="9.140625" style="2"/>
  </cols>
  <sheetData>
    <row r="2" spans="2:9" x14ac:dyDescent="0.2">
      <c r="C2" s="2" t="s">
        <v>8</v>
      </c>
      <c r="D2" s="2">
        <v>150</v>
      </c>
      <c r="E2" s="2">
        <v>160</v>
      </c>
      <c r="F2" s="2">
        <v>170</v>
      </c>
      <c r="G2" s="2">
        <v>180</v>
      </c>
      <c r="H2" s="2">
        <v>190</v>
      </c>
      <c r="I2" s="2">
        <v>200</v>
      </c>
    </row>
    <row r="3" spans="2:9" x14ac:dyDescent="0.2">
      <c r="B3" s="2" t="s">
        <v>3</v>
      </c>
      <c r="C3" s="2" t="s">
        <v>0</v>
      </c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</row>
    <row r="4" spans="2:9" x14ac:dyDescent="0.2">
      <c r="B4" s="2">
        <v>4500</v>
      </c>
      <c r="C4" s="2" t="s">
        <v>1</v>
      </c>
      <c r="D4" s="2">
        <v>6</v>
      </c>
      <c r="E4" s="2">
        <v>5</v>
      </c>
      <c r="F4" s="2">
        <v>4</v>
      </c>
      <c r="G4" s="2">
        <v>3</v>
      </c>
      <c r="H4" s="2">
        <v>2.5</v>
      </c>
      <c r="I4" s="2">
        <v>1.5</v>
      </c>
    </row>
    <row r="5" spans="2:9" x14ac:dyDescent="0.2">
      <c r="B5" s="2">
        <v>1600</v>
      </c>
      <c r="C5" s="2" t="s">
        <v>2</v>
      </c>
      <c r="D5" s="2">
        <v>3.2</v>
      </c>
      <c r="E5" s="2">
        <v>2.6</v>
      </c>
      <c r="F5" s="2">
        <v>1.5</v>
      </c>
      <c r="G5" s="2">
        <v>0.8</v>
      </c>
      <c r="H5" s="2">
        <v>0.7</v>
      </c>
      <c r="I5" s="2">
        <v>0.3</v>
      </c>
    </row>
    <row r="6" spans="2:9" x14ac:dyDescent="0.2">
      <c r="C6" s="2" t="s">
        <v>4</v>
      </c>
      <c r="D6" s="3">
        <v>12.5</v>
      </c>
      <c r="E6" s="3">
        <v>11</v>
      </c>
      <c r="F6" s="3">
        <v>9</v>
      </c>
      <c r="G6" s="3">
        <v>7</v>
      </c>
      <c r="H6" s="3">
        <v>6</v>
      </c>
      <c r="I6" s="3">
        <v>3</v>
      </c>
    </row>
    <row r="7" spans="2:9" x14ac:dyDescent="0.2">
      <c r="C7" s="2" t="s">
        <v>5</v>
      </c>
      <c r="D7" s="3">
        <v>6.5</v>
      </c>
      <c r="E7" s="3">
        <v>5.7</v>
      </c>
      <c r="F7" s="3">
        <v>3.6</v>
      </c>
      <c r="G7" s="3">
        <v>2.8</v>
      </c>
      <c r="H7" s="3">
        <v>2.2000000000000002</v>
      </c>
      <c r="I7" s="3">
        <v>1.2</v>
      </c>
    </row>
    <row r="8" spans="2:9" x14ac:dyDescent="0.2">
      <c r="C8" s="2" t="s">
        <v>6</v>
      </c>
      <c r="D8" s="2">
        <v>960</v>
      </c>
      <c r="E8" s="2">
        <v>928</v>
      </c>
      <c r="F8" s="2">
        <v>1041</v>
      </c>
      <c r="G8" s="2">
        <v>977</v>
      </c>
      <c r="H8" s="2">
        <v>1084</v>
      </c>
      <c r="I8" s="2">
        <v>1055</v>
      </c>
    </row>
    <row r="9" spans="2:9" x14ac:dyDescent="0.2">
      <c r="C9" s="2" t="s">
        <v>7</v>
      </c>
      <c r="D9" s="4">
        <f t="shared" ref="D9:I9" si="0">D6-D7</f>
        <v>6</v>
      </c>
      <c r="E9" s="4">
        <f t="shared" si="0"/>
        <v>5.3</v>
      </c>
      <c r="F9" s="4">
        <f t="shared" si="0"/>
        <v>5.4</v>
      </c>
      <c r="G9" s="4">
        <f t="shared" si="0"/>
        <v>4.2</v>
      </c>
      <c r="H9" s="4">
        <f t="shared" si="0"/>
        <v>3.8</v>
      </c>
      <c r="I9" s="4">
        <f t="shared" si="0"/>
        <v>1.8</v>
      </c>
    </row>
    <row r="12" spans="2:9" x14ac:dyDescent="0.2">
      <c r="C12" s="2" t="s">
        <v>9</v>
      </c>
      <c r="D12" s="3">
        <f>SUMPRODUCT(D9:I9,$D$2:$I$2)</f>
        <v>4504</v>
      </c>
    </row>
    <row r="13" spans="2:9" x14ac:dyDescent="0.2">
      <c r="F13" s="2" t="s">
        <v>3</v>
      </c>
    </row>
    <row r="14" spans="2:9" x14ac:dyDescent="0.2">
      <c r="C14" s="2" t="s">
        <v>10</v>
      </c>
      <c r="D14" s="2">
        <f>SUMPRODUCT($D$2:$I$2,D4:I4)</f>
        <v>3695</v>
      </c>
      <c r="E14" s="2" t="s">
        <v>12</v>
      </c>
      <c r="F14" s="2">
        <f>B4</f>
        <v>4500</v>
      </c>
    </row>
    <row r="15" spans="2:9" x14ac:dyDescent="0.2">
      <c r="C15" s="2" t="s">
        <v>11</v>
      </c>
      <c r="D15" s="2">
        <f>SUMPRODUCT($D$2:$I$2,D5:I5)</f>
        <v>1488</v>
      </c>
      <c r="E15" s="2" t="s">
        <v>12</v>
      </c>
      <c r="F15" s="2">
        <f>B5</f>
        <v>1600</v>
      </c>
    </row>
    <row r="20" spans="2:11" x14ac:dyDescent="0.2">
      <c r="B20" s="5"/>
      <c r="C20" s="5"/>
      <c r="D20" s="5"/>
      <c r="E20" s="5"/>
      <c r="F20" s="5"/>
      <c r="G20" s="5"/>
      <c r="H20" s="5"/>
      <c r="I20"/>
      <c r="J20"/>
      <c r="K20"/>
    </row>
    <row r="21" spans="2:11" x14ac:dyDescent="0.2">
      <c r="B21" s="5"/>
      <c r="C21" s="5"/>
      <c r="D21" s="5"/>
      <c r="E21" s="5"/>
      <c r="F21" s="5"/>
      <c r="G21" s="5"/>
      <c r="H21" s="5"/>
      <c r="I21"/>
      <c r="J21"/>
      <c r="K21"/>
    </row>
    <row r="22" spans="2:11" x14ac:dyDescent="0.2">
      <c r="B22" s="5"/>
      <c r="C22" s="5"/>
      <c r="D22" s="5"/>
      <c r="E22" s="5"/>
      <c r="F22" s="5"/>
      <c r="G22" s="5"/>
      <c r="H22" s="5"/>
      <c r="I22"/>
      <c r="J22"/>
      <c r="K22"/>
    </row>
    <row r="23" spans="2:11" x14ac:dyDescent="0.2">
      <c r="B23" s="5"/>
      <c r="C23" s="5"/>
      <c r="D23" s="5"/>
      <c r="E23" s="5"/>
      <c r="F23" s="5"/>
      <c r="G23" s="5"/>
      <c r="H23" s="5"/>
      <c r="I23"/>
      <c r="J23"/>
      <c r="K23"/>
    </row>
    <row r="24" spans="2:11" x14ac:dyDescent="0.2">
      <c r="B24" s="5"/>
      <c r="C24" s="5"/>
      <c r="D24" s="5"/>
      <c r="E24" s="5"/>
      <c r="F24" s="5"/>
      <c r="G24" s="5"/>
      <c r="H24" s="5"/>
      <c r="I24"/>
      <c r="J24"/>
      <c r="K24"/>
    </row>
    <row r="25" spans="2:11" x14ac:dyDescent="0.2">
      <c r="B25" s="5"/>
      <c r="C25" s="5"/>
      <c r="D25" s="5"/>
      <c r="E25" s="5"/>
      <c r="F25" s="5"/>
      <c r="G25" s="5"/>
      <c r="H25" s="5"/>
      <c r="I25"/>
      <c r="J25"/>
      <c r="K25"/>
    </row>
    <row r="26" spans="2:11" x14ac:dyDescent="0.2">
      <c r="B26" s="5"/>
      <c r="C26" s="5"/>
      <c r="D26" s="5"/>
      <c r="E26" s="5"/>
      <c r="F26" s="5"/>
      <c r="G26" s="5"/>
      <c r="H26" s="5"/>
      <c r="I26"/>
      <c r="J26"/>
      <c r="K26"/>
    </row>
    <row r="27" spans="2:11" x14ac:dyDescent="0.2">
      <c r="B27" s="5"/>
      <c r="C27" s="5"/>
      <c r="D27" s="5"/>
      <c r="E27" s="5"/>
      <c r="F27" s="5"/>
      <c r="G27" s="5"/>
      <c r="H27" s="5"/>
      <c r="I27"/>
      <c r="J27"/>
      <c r="K27"/>
    </row>
    <row r="28" spans="2:11" x14ac:dyDescent="0.2">
      <c r="B28" s="5"/>
      <c r="C28" s="5"/>
      <c r="D28" s="5"/>
      <c r="E28" s="5"/>
      <c r="F28" s="5"/>
      <c r="G28" s="5"/>
      <c r="H28" s="5"/>
      <c r="I28"/>
      <c r="J28"/>
      <c r="K28"/>
    </row>
    <row r="29" spans="2:11" x14ac:dyDescent="0.2">
      <c r="B29" s="5"/>
      <c r="C29" s="5"/>
      <c r="D29" s="5"/>
      <c r="E29" s="5"/>
      <c r="F29" s="5"/>
      <c r="G29" s="5"/>
      <c r="H29" s="5"/>
      <c r="I29"/>
      <c r="J29"/>
      <c r="K29"/>
    </row>
    <row r="30" spans="2:11" x14ac:dyDescent="0.2">
      <c r="B30" s="5"/>
      <c r="C30" s="5"/>
      <c r="D30" s="5"/>
      <c r="E30" s="5"/>
      <c r="F30" s="5"/>
      <c r="G30" s="5"/>
      <c r="H30" s="5"/>
      <c r="I30"/>
      <c r="J30"/>
      <c r="K30"/>
    </row>
    <row r="31" spans="2:11" x14ac:dyDescent="0.2">
      <c r="B31" s="5"/>
      <c r="C31" s="5"/>
      <c r="D31" s="5"/>
      <c r="E31" s="5"/>
      <c r="F31" s="5"/>
      <c r="G31" s="5"/>
      <c r="H31" s="5"/>
      <c r="I31"/>
      <c r="J31"/>
      <c r="K31"/>
    </row>
    <row r="32" spans="2:11" x14ac:dyDescent="0.2">
      <c r="B32" s="5"/>
      <c r="C32" s="5"/>
      <c r="D32" s="5"/>
      <c r="E32" s="5"/>
      <c r="F32" s="5"/>
      <c r="G32" s="5"/>
      <c r="H32" s="5"/>
      <c r="I32"/>
      <c r="J32"/>
      <c r="K32"/>
    </row>
    <row r="33" spans="2:11" x14ac:dyDescent="0.2">
      <c r="B33" s="5"/>
      <c r="C33" s="5"/>
      <c r="D33" s="5"/>
      <c r="E33" s="5"/>
      <c r="F33" s="5"/>
      <c r="G33" s="5"/>
      <c r="H33" s="5"/>
      <c r="I33"/>
      <c r="J33"/>
      <c r="K33"/>
    </row>
    <row r="34" spans="2:11" x14ac:dyDescent="0.2">
      <c r="B34" s="5"/>
      <c r="C34" s="5"/>
      <c r="D34" s="5"/>
      <c r="E34" s="5"/>
      <c r="F34" s="5"/>
      <c r="G34" s="5"/>
      <c r="H34" s="5"/>
      <c r="I34"/>
      <c r="J34"/>
      <c r="K34"/>
    </row>
    <row r="35" spans="2:11" x14ac:dyDescent="0.2">
      <c r="B35" s="5"/>
      <c r="C35" s="5"/>
      <c r="D35" s="5"/>
      <c r="E35" s="5"/>
      <c r="F35" s="5"/>
      <c r="G35" s="5"/>
      <c r="H35" s="5"/>
      <c r="I35"/>
      <c r="J35"/>
      <c r="K35"/>
    </row>
    <row r="36" spans="2:11" x14ac:dyDescent="0.2">
      <c r="B36" s="5"/>
      <c r="C36" s="5"/>
      <c r="D36" s="5"/>
      <c r="E36" s="5"/>
      <c r="F36" s="5"/>
      <c r="G36" s="5"/>
      <c r="H36" s="5"/>
    </row>
    <row r="37" spans="2:11" x14ac:dyDescent="0.2">
      <c r="B37" s="5"/>
      <c r="C37" s="5"/>
      <c r="D37" s="5"/>
      <c r="E37" s="5"/>
      <c r="F37" s="5"/>
      <c r="G37" s="5"/>
      <c r="H37" s="5"/>
    </row>
    <row r="38" spans="2:11" x14ac:dyDescent="0.2">
      <c r="B38" s="5"/>
      <c r="C38" s="5"/>
      <c r="D38" s="5"/>
      <c r="E38" s="5"/>
      <c r="F38" s="5"/>
      <c r="G38" s="5"/>
      <c r="H38" s="5"/>
    </row>
    <row r="39" spans="2:11" x14ac:dyDescent="0.2">
      <c r="B39" s="5"/>
      <c r="C39" s="5"/>
      <c r="D39" s="5"/>
      <c r="E39" s="5"/>
      <c r="F39" s="5"/>
      <c r="G39" s="5"/>
      <c r="H39" s="5"/>
    </row>
    <row r="40" spans="2:11" x14ac:dyDescent="0.2">
      <c r="B40" s="5"/>
      <c r="C40" s="5"/>
      <c r="D40" s="5"/>
      <c r="E40" s="5"/>
      <c r="F40" s="5"/>
      <c r="G40" s="5"/>
      <c r="H40" s="5"/>
    </row>
    <row r="41" spans="2:11" x14ac:dyDescent="0.2">
      <c r="B41" s="5"/>
      <c r="C41" s="5"/>
      <c r="D41" s="5"/>
      <c r="E41" s="5"/>
      <c r="F41" s="5"/>
      <c r="G41" s="5"/>
      <c r="H41" s="5"/>
    </row>
    <row r="42" spans="2:11" x14ac:dyDescent="0.2">
      <c r="B42" s="5"/>
      <c r="C42" s="5"/>
      <c r="D42" s="5"/>
      <c r="E42" s="5"/>
      <c r="F42" s="5"/>
      <c r="G42" s="5"/>
      <c r="H42" s="5"/>
    </row>
  </sheetData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9"/>
  <sheetViews>
    <sheetView workbookViewId="0"/>
  </sheetViews>
  <sheetFormatPr defaultRowHeight="12.75" x14ac:dyDescent="0.2"/>
  <cols>
    <col min="1" max="5" width="15.5703125" customWidth="1"/>
    <col min="6" max="6" width="10.5703125" customWidth="1"/>
    <col min="7" max="7" width="9.7109375" customWidth="1"/>
    <col min="8" max="8" width="10.7109375" customWidth="1"/>
    <col min="9" max="10" width="7.7109375" customWidth="1"/>
  </cols>
  <sheetData>
    <row r="1" spans="1:10" x14ac:dyDescent="0.2">
      <c r="A1" t="s">
        <v>13</v>
      </c>
      <c r="B1" t="s">
        <v>14</v>
      </c>
      <c r="C1" t="s">
        <v>15</v>
      </c>
      <c r="D1" t="s">
        <v>16</v>
      </c>
      <c r="E1" t="s">
        <v>17</v>
      </c>
      <c r="F1">
        <v>-0.23</v>
      </c>
      <c r="G1" t="s">
        <v>18</v>
      </c>
      <c r="H1" t="s">
        <v>19</v>
      </c>
      <c r="I1" t="s">
        <v>20</v>
      </c>
      <c r="J1" t="s">
        <v>21</v>
      </c>
    </row>
    <row r="2" spans="1:10" x14ac:dyDescent="0.2">
      <c r="A2" t="s">
        <v>22</v>
      </c>
      <c r="B2" t="s">
        <v>23</v>
      </c>
      <c r="C2" t="s">
        <v>24</v>
      </c>
      <c r="D2" t="s">
        <v>25</v>
      </c>
      <c r="E2" t="s">
        <v>26</v>
      </c>
      <c r="F2">
        <v>64.38</v>
      </c>
      <c r="G2" t="s">
        <v>18</v>
      </c>
      <c r="H2" t="s">
        <v>27</v>
      </c>
      <c r="I2" t="s">
        <v>20</v>
      </c>
      <c r="J2" t="s">
        <v>21</v>
      </c>
    </row>
    <row r="3" spans="1:10" x14ac:dyDescent="0.2">
      <c r="A3" t="s">
        <v>13</v>
      </c>
      <c r="B3" t="s">
        <v>14</v>
      </c>
      <c r="C3" t="s">
        <v>24</v>
      </c>
      <c r="D3" t="s">
        <v>16</v>
      </c>
      <c r="E3" t="s">
        <v>17</v>
      </c>
      <c r="F3">
        <v>13.28</v>
      </c>
      <c r="G3" t="s">
        <v>18</v>
      </c>
      <c r="H3" t="s">
        <v>28</v>
      </c>
      <c r="I3" t="s">
        <v>20</v>
      </c>
      <c r="J3" t="s">
        <v>21</v>
      </c>
    </row>
    <row r="4" spans="1:10" x14ac:dyDescent="0.2">
      <c r="A4" t="s">
        <v>14</v>
      </c>
      <c r="B4" t="s">
        <v>23</v>
      </c>
      <c r="C4" t="s">
        <v>24</v>
      </c>
      <c r="D4" t="s">
        <v>17</v>
      </c>
      <c r="E4" t="s">
        <v>26</v>
      </c>
      <c r="F4">
        <v>-24.1</v>
      </c>
      <c r="G4" t="s">
        <v>18</v>
      </c>
      <c r="H4" t="s">
        <v>29</v>
      </c>
      <c r="I4" t="s">
        <v>20</v>
      </c>
      <c r="J4" t="s">
        <v>21</v>
      </c>
    </row>
    <row r="5" spans="1:10" x14ac:dyDescent="0.2">
      <c r="A5" t="s">
        <v>13</v>
      </c>
      <c r="B5" t="s">
        <v>15</v>
      </c>
      <c r="C5" t="s">
        <v>23</v>
      </c>
      <c r="D5" t="s">
        <v>16</v>
      </c>
      <c r="E5" t="s">
        <v>17</v>
      </c>
      <c r="F5">
        <v>30.01</v>
      </c>
      <c r="G5" t="s">
        <v>18</v>
      </c>
      <c r="H5" t="s">
        <v>30</v>
      </c>
      <c r="I5" t="s">
        <v>20</v>
      </c>
      <c r="J5" t="s">
        <v>21</v>
      </c>
    </row>
    <row r="6" spans="1:10" x14ac:dyDescent="0.2">
      <c r="A6" t="s">
        <v>23</v>
      </c>
      <c r="B6" t="s">
        <v>24</v>
      </c>
      <c r="C6" t="s">
        <v>16</v>
      </c>
      <c r="D6" t="s">
        <v>17</v>
      </c>
      <c r="E6" t="s">
        <v>26</v>
      </c>
      <c r="F6">
        <v>-136.38999999999999</v>
      </c>
      <c r="G6" t="s">
        <v>18</v>
      </c>
      <c r="H6" t="s">
        <v>31</v>
      </c>
      <c r="I6" t="s">
        <v>20</v>
      </c>
      <c r="J6" t="s">
        <v>21</v>
      </c>
    </row>
    <row r="7" spans="1:10" x14ac:dyDescent="0.2">
      <c r="A7" t="s">
        <v>13</v>
      </c>
      <c r="B7" t="s">
        <v>23</v>
      </c>
      <c r="C7" t="s">
        <v>24</v>
      </c>
      <c r="D7" t="s">
        <v>16</v>
      </c>
      <c r="E7" t="s">
        <v>17</v>
      </c>
      <c r="F7">
        <v>65.81</v>
      </c>
      <c r="G7" t="s">
        <v>18</v>
      </c>
      <c r="H7" t="s">
        <v>32</v>
      </c>
      <c r="I7" t="s">
        <v>20</v>
      </c>
      <c r="J7" t="s">
        <v>21</v>
      </c>
    </row>
    <row r="8" spans="1:10" x14ac:dyDescent="0.2">
      <c r="A8" t="s">
        <v>22</v>
      </c>
      <c r="B8" t="s">
        <v>23</v>
      </c>
      <c r="C8" t="s">
        <v>24</v>
      </c>
      <c r="D8" t="s">
        <v>16</v>
      </c>
      <c r="E8" t="s">
        <v>25</v>
      </c>
      <c r="F8">
        <v>-140.28</v>
      </c>
      <c r="G8" t="s">
        <v>18</v>
      </c>
      <c r="H8" t="s">
        <v>33</v>
      </c>
      <c r="I8" t="s">
        <v>20</v>
      </c>
      <c r="J8" t="s">
        <v>21</v>
      </c>
    </row>
    <row r="9" spans="1:10" x14ac:dyDescent="0.2">
      <c r="A9" t="s">
        <v>14</v>
      </c>
      <c r="B9" t="s">
        <v>15</v>
      </c>
      <c r="C9" t="s">
        <v>23</v>
      </c>
      <c r="D9" t="s">
        <v>16</v>
      </c>
      <c r="E9" t="s">
        <v>17</v>
      </c>
      <c r="F9">
        <v>-726.75</v>
      </c>
      <c r="G9" t="s">
        <v>18</v>
      </c>
      <c r="H9" t="s">
        <v>34</v>
      </c>
      <c r="I9" t="s">
        <v>20</v>
      </c>
      <c r="J9" t="s">
        <v>21</v>
      </c>
    </row>
    <row r="10" spans="1:10" x14ac:dyDescent="0.2">
      <c r="A10" t="s">
        <v>13</v>
      </c>
      <c r="B10" t="s">
        <v>14</v>
      </c>
      <c r="C10" t="s">
        <v>23</v>
      </c>
      <c r="D10" t="s">
        <v>16</v>
      </c>
      <c r="E10" t="s">
        <v>17</v>
      </c>
      <c r="F10">
        <v>1303.82</v>
      </c>
      <c r="G10" t="s">
        <v>18</v>
      </c>
      <c r="H10" t="s">
        <v>35</v>
      </c>
      <c r="I10" t="s">
        <v>20</v>
      </c>
      <c r="J10" t="s">
        <v>21</v>
      </c>
    </row>
    <row r="11" spans="1:10" x14ac:dyDescent="0.2">
      <c r="A11" t="s">
        <v>13</v>
      </c>
      <c r="B11" t="s">
        <v>14</v>
      </c>
      <c r="C11" t="s">
        <v>15</v>
      </c>
      <c r="D11" t="s">
        <v>16</v>
      </c>
      <c r="E11" t="s">
        <v>17</v>
      </c>
      <c r="F11">
        <v>18.100000000000001</v>
      </c>
      <c r="G11" t="s">
        <v>36</v>
      </c>
      <c r="H11" t="s">
        <v>37</v>
      </c>
      <c r="I11" t="s">
        <v>38</v>
      </c>
      <c r="J11" t="s">
        <v>21</v>
      </c>
    </row>
    <row r="12" spans="1:10" x14ac:dyDescent="0.2">
      <c r="A12" t="s">
        <v>13</v>
      </c>
      <c r="B12" t="s">
        <v>22</v>
      </c>
      <c r="C12" t="s">
        <v>23</v>
      </c>
      <c r="D12" t="s">
        <v>24</v>
      </c>
      <c r="E12" t="s">
        <v>26</v>
      </c>
      <c r="F12">
        <v>63.89</v>
      </c>
      <c r="G12" t="s">
        <v>36</v>
      </c>
      <c r="H12" t="s">
        <v>39</v>
      </c>
      <c r="I12" t="s">
        <v>38</v>
      </c>
      <c r="J12" t="s">
        <v>21</v>
      </c>
    </row>
    <row r="13" spans="1:10" x14ac:dyDescent="0.2">
      <c r="A13" t="s">
        <v>14</v>
      </c>
      <c r="B13" t="s">
        <v>22</v>
      </c>
      <c r="C13" t="s">
        <v>23</v>
      </c>
      <c r="D13" t="s">
        <v>17</v>
      </c>
      <c r="E13" t="s">
        <v>26</v>
      </c>
      <c r="F13">
        <v>-101.31</v>
      </c>
      <c r="G13" t="s">
        <v>36</v>
      </c>
      <c r="H13" t="s">
        <v>40</v>
      </c>
      <c r="I13" t="s">
        <v>38</v>
      </c>
      <c r="J13" t="s">
        <v>21</v>
      </c>
    </row>
    <row r="14" spans="1:10" x14ac:dyDescent="0.2">
      <c r="A14" t="s">
        <v>15</v>
      </c>
      <c r="B14" t="s">
        <v>23</v>
      </c>
      <c r="C14" t="s">
        <v>16</v>
      </c>
      <c r="D14" t="s">
        <v>17</v>
      </c>
      <c r="E14" t="s">
        <v>26</v>
      </c>
      <c r="F14">
        <v>-6.53</v>
      </c>
      <c r="G14" t="s">
        <v>36</v>
      </c>
      <c r="H14" t="s">
        <v>41</v>
      </c>
      <c r="I14" t="s">
        <v>38</v>
      </c>
      <c r="J14" t="s">
        <v>21</v>
      </c>
    </row>
    <row r="15" spans="1:10" x14ac:dyDescent="0.2">
      <c r="A15" t="s">
        <v>13</v>
      </c>
      <c r="B15" t="s">
        <v>23</v>
      </c>
      <c r="C15" t="s">
        <v>24</v>
      </c>
      <c r="D15" t="s">
        <v>17</v>
      </c>
      <c r="E15" t="s">
        <v>26</v>
      </c>
      <c r="F15">
        <v>-32.71</v>
      </c>
      <c r="G15" t="s">
        <v>36</v>
      </c>
      <c r="H15" t="s">
        <v>42</v>
      </c>
      <c r="I15" t="s">
        <v>38</v>
      </c>
      <c r="J15" t="s">
        <v>21</v>
      </c>
    </row>
    <row r="16" spans="1:10" x14ac:dyDescent="0.2">
      <c r="A16" t="s">
        <v>13</v>
      </c>
      <c r="B16" t="s">
        <v>15</v>
      </c>
      <c r="C16" t="s">
        <v>23</v>
      </c>
      <c r="D16" t="s">
        <v>16</v>
      </c>
      <c r="E16" t="s">
        <v>17</v>
      </c>
      <c r="F16">
        <v>42.25</v>
      </c>
      <c r="G16" t="s">
        <v>36</v>
      </c>
      <c r="H16" t="s">
        <v>43</v>
      </c>
      <c r="I16" t="s">
        <v>38</v>
      </c>
      <c r="J16" t="s">
        <v>21</v>
      </c>
    </row>
    <row r="17" spans="1:10" x14ac:dyDescent="0.2">
      <c r="A17" t="s">
        <v>14</v>
      </c>
      <c r="B17" t="s">
        <v>22</v>
      </c>
      <c r="C17" t="s">
        <v>23</v>
      </c>
      <c r="D17" t="s">
        <v>16</v>
      </c>
      <c r="E17" t="s">
        <v>17</v>
      </c>
      <c r="F17">
        <v>40.770000000000003</v>
      </c>
      <c r="G17" t="s">
        <v>36</v>
      </c>
      <c r="H17" t="s">
        <v>44</v>
      </c>
      <c r="I17" t="s">
        <v>38</v>
      </c>
      <c r="J17" t="s">
        <v>21</v>
      </c>
    </row>
    <row r="18" spans="1:10" x14ac:dyDescent="0.2">
      <c r="A18" t="s">
        <v>13</v>
      </c>
      <c r="B18" t="s">
        <v>22</v>
      </c>
      <c r="C18" t="s">
        <v>23</v>
      </c>
      <c r="D18" t="s">
        <v>24</v>
      </c>
      <c r="E18" t="s">
        <v>16</v>
      </c>
      <c r="F18">
        <v>35.96</v>
      </c>
      <c r="G18" t="s">
        <v>36</v>
      </c>
      <c r="H18" t="s">
        <v>45</v>
      </c>
      <c r="I18" t="s">
        <v>38</v>
      </c>
      <c r="J18" t="s">
        <v>21</v>
      </c>
    </row>
    <row r="19" spans="1:10" x14ac:dyDescent="0.2">
      <c r="A19" t="s">
        <v>13</v>
      </c>
      <c r="B19" t="s">
        <v>14</v>
      </c>
      <c r="C19" t="s">
        <v>16</v>
      </c>
      <c r="D19" t="s">
        <v>17</v>
      </c>
      <c r="E19" t="s">
        <v>26</v>
      </c>
      <c r="F19">
        <v>-53.27</v>
      </c>
      <c r="G19" t="s">
        <v>36</v>
      </c>
      <c r="H19" t="s">
        <v>46</v>
      </c>
      <c r="I19" t="s">
        <v>38</v>
      </c>
      <c r="J19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2"/>
  <sheetViews>
    <sheetView workbookViewId="0"/>
  </sheetViews>
  <sheetFormatPr defaultRowHeight="12.75" x14ac:dyDescent="0.2"/>
  <cols>
    <col min="1" max="1" width="6.85546875" style="12" customWidth="1"/>
    <col min="2" max="2" width="6.85546875" style="12" bestFit="1" customWidth="1"/>
    <col min="3" max="3" width="42.5703125" bestFit="1" customWidth="1"/>
    <col min="4" max="4" width="14.85546875" bestFit="1" customWidth="1"/>
    <col min="5" max="5" width="5" style="12" bestFit="1" customWidth="1"/>
    <col min="6" max="6" width="11.42578125" style="12" bestFit="1" customWidth="1"/>
  </cols>
  <sheetData>
    <row r="1" spans="1:6" x14ac:dyDescent="0.2">
      <c r="A1" s="13" t="s">
        <v>48</v>
      </c>
    </row>
    <row r="2" spans="1:6" x14ac:dyDescent="0.2">
      <c r="A2" s="12" t="s">
        <v>49</v>
      </c>
      <c r="B2" s="12" t="s">
        <v>50</v>
      </c>
      <c r="C2" s="12" t="s">
        <v>51</v>
      </c>
      <c r="D2" s="12" t="s">
        <v>52</v>
      </c>
      <c r="E2" s="12" t="s">
        <v>53</v>
      </c>
      <c r="F2" s="12" t="s">
        <v>54</v>
      </c>
    </row>
    <row r="3" spans="1:6" x14ac:dyDescent="0.2">
      <c r="A3" s="12">
        <v>1</v>
      </c>
      <c r="B3" s="12">
        <v>1</v>
      </c>
      <c r="C3" t="s">
        <v>55</v>
      </c>
      <c r="D3" s="1">
        <v>2787965087</v>
      </c>
      <c r="E3" s="12">
        <v>2009</v>
      </c>
      <c r="F3" s="12" t="s">
        <v>56</v>
      </c>
    </row>
    <row r="4" spans="1:6" x14ac:dyDescent="0.2">
      <c r="A4" s="12">
        <v>2</v>
      </c>
      <c r="B4" s="12">
        <v>1</v>
      </c>
      <c r="C4" t="s">
        <v>57</v>
      </c>
      <c r="D4" s="1">
        <v>2186772302</v>
      </c>
      <c r="E4" s="12">
        <v>1997</v>
      </c>
      <c r="F4" s="12" t="s">
        <v>58</v>
      </c>
    </row>
    <row r="5" spans="1:6" x14ac:dyDescent="0.2">
      <c r="A5" s="12">
        <v>3</v>
      </c>
      <c r="B5" s="12">
        <v>3</v>
      </c>
      <c r="C5" t="s">
        <v>59</v>
      </c>
      <c r="D5" s="1">
        <v>2068178225</v>
      </c>
      <c r="E5" s="12">
        <v>2015</v>
      </c>
      <c r="F5" s="12" t="s">
        <v>60</v>
      </c>
    </row>
    <row r="6" spans="1:6" x14ac:dyDescent="0.2">
      <c r="A6" s="12">
        <v>4</v>
      </c>
      <c r="B6" s="12">
        <v>3</v>
      </c>
      <c r="C6" t="s">
        <v>61</v>
      </c>
      <c r="D6" s="1">
        <v>1670400637</v>
      </c>
      <c r="E6" s="12">
        <v>2015</v>
      </c>
      <c r="F6" s="12" t="s">
        <v>62</v>
      </c>
    </row>
    <row r="7" spans="1:6" x14ac:dyDescent="0.2">
      <c r="A7" s="12">
        <v>5</v>
      </c>
      <c r="B7" s="12">
        <v>3</v>
      </c>
      <c r="C7" t="s">
        <v>63</v>
      </c>
      <c r="D7" s="1">
        <v>1519557910</v>
      </c>
      <c r="E7" s="12">
        <v>2012</v>
      </c>
      <c r="F7" s="12" t="s">
        <v>64</v>
      </c>
    </row>
    <row r="8" spans="1:6" x14ac:dyDescent="0.2">
      <c r="A8" s="12">
        <v>6</v>
      </c>
      <c r="B8" s="12">
        <v>4</v>
      </c>
      <c r="C8" t="s">
        <v>65</v>
      </c>
      <c r="D8" s="1">
        <v>1516045911</v>
      </c>
      <c r="E8" s="12">
        <v>2015</v>
      </c>
      <c r="F8" s="12" t="s">
        <v>66</v>
      </c>
    </row>
    <row r="9" spans="1:6" x14ac:dyDescent="0.2">
      <c r="A9" s="12">
        <v>7</v>
      </c>
      <c r="B9" s="12">
        <v>5</v>
      </c>
      <c r="C9" t="s">
        <v>67</v>
      </c>
      <c r="D9" s="1">
        <v>1405413868</v>
      </c>
      <c r="E9" s="12">
        <v>2015</v>
      </c>
      <c r="F9" s="12" t="s">
        <v>68</v>
      </c>
    </row>
    <row r="10" spans="1:6" x14ac:dyDescent="0.2">
      <c r="A10" s="12">
        <v>8</v>
      </c>
      <c r="B10" s="12">
        <v>3</v>
      </c>
      <c r="C10" t="s">
        <v>69</v>
      </c>
      <c r="D10" s="1">
        <v>1341511219</v>
      </c>
      <c r="E10" s="12">
        <v>2011</v>
      </c>
      <c r="F10" s="12" t="s">
        <v>70</v>
      </c>
    </row>
    <row r="11" spans="1:6" x14ac:dyDescent="0.2">
      <c r="A11" s="12" t="s">
        <v>71</v>
      </c>
      <c r="B11" s="12">
        <v>5</v>
      </c>
      <c r="C11" t="s">
        <v>72</v>
      </c>
      <c r="D11" s="1">
        <v>1287000000</v>
      </c>
      <c r="E11" s="12">
        <v>2013</v>
      </c>
      <c r="F11" s="12" t="s">
        <v>73</v>
      </c>
    </row>
    <row r="12" spans="1:6" x14ac:dyDescent="0.2">
      <c r="A12" s="12">
        <v>10</v>
      </c>
      <c r="B12" s="12">
        <v>5</v>
      </c>
      <c r="C12" t="s">
        <v>74</v>
      </c>
      <c r="D12" s="1">
        <v>1215439994</v>
      </c>
      <c r="E12" s="12">
        <v>2013</v>
      </c>
      <c r="F12" s="12" t="s">
        <v>75</v>
      </c>
    </row>
    <row r="13" spans="1:6" x14ac:dyDescent="0.2">
      <c r="A13" s="12">
        <v>11</v>
      </c>
      <c r="B13" s="12">
        <v>10</v>
      </c>
      <c r="C13" t="s">
        <v>76</v>
      </c>
      <c r="D13" s="1">
        <v>1159398397</v>
      </c>
      <c r="E13" s="12">
        <v>2015</v>
      </c>
      <c r="F13" s="12" t="s">
        <v>77</v>
      </c>
    </row>
    <row r="14" spans="1:6" x14ac:dyDescent="0.2">
      <c r="A14" s="12">
        <v>12</v>
      </c>
      <c r="B14" s="12">
        <v>12</v>
      </c>
      <c r="C14" t="s">
        <v>78</v>
      </c>
      <c r="D14" s="1">
        <v>1147514288</v>
      </c>
      <c r="E14" s="12">
        <v>2016</v>
      </c>
      <c r="F14" s="12" t="s">
        <v>79</v>
      </c>
    </row>
    <row r="15" spans="1:6" x14ac:dyDescent="0.2">
      <c r="A15" s="12">
        <v>13</v>
      </c>
      <c r="B15" s="12">
        <v>4</v>
      </c>
      <c r="C15" t="s">
        <v>80</v>
      </c>
      <c r="D15" s="1">
        <v>1123794079</v>
      </c>
      <c r="E15" s="12">
        <v>2011</v>
      </c>
      <c r="F15" s="12" t="s">
        <v>81</v>
      </c>
    </row>
    <row r="16" spans="1:6" x14ac:dyDescent="0.2">
      <c r="A16" s="12">
        <v>14</v>
      </c>
      <c r="B16" s="12">
        <v>2</v>
      </c>
      <c r="C16" t="s">
        <v>82</v>
      </c>
      <c r="D16" s="1">
        <v>1119929521</v>
      </c>
      <c r="E16" s="12">
        <v>2003</v>
      </c>
      <c r="F16" s="12" t="s">
        <v>83</v>
      </c>
    </row>
    <row r="17" spans="1:6" x14ac:dyDescent="0.2">
      <c r="A17" s="12">
        <v>15</v>
      </c>
      <c r="B17" s="12">
        <v>7</v>
      </c>
      <c r="C17" t="s">
        <v>84</v>
      </c>
      <c r="D17" s="1">
        <v>1108561013</v>
      </c>
      <c r="E17" s="12">
        <v>2012</v>
      </c>
      <c r="F17" s="12" t="s">
        <v>85</v>
      </c>
    </row>
    <row r="18" spans="1:6" x14ac:dyDescent="0.2">
      <c r="A18" s="12">
        <v>16</v>
      </c>
      <c r="B18" s="12">
        <v>10</v>
      </c>
      <c r="C18" t="s">
        <v>86</v>
      </c>
      <c r="D18" s="1">
        <v>1104054072</v>
      </c>
      <c r="E18" s="12">
        <v>2014</v>
      </c>
      <c r="F18" s="12" t="s">
        <v>87</v>
      </c>
    </row>
    <row r="19" spans="1:6" x14ac:dyDescent="0.2">
      <c r="A19" s="12">
        <v>17</v>
      </c>
      <c r="B19" s="12">
        <v>7</v>
      </c>
      <c r="C19" t="s">
        <v>88</v>
      </c>
      <c r="D19" s="1">
        <v>1084939099</v>
      </c>
      <c r="E19" s="12">
        <v>2012</v>
      </c>
      <c r="F19" s="12" t="s">
        <v>89</v>
      </c>
    </row>
    <row r="20" spans="1:6" x14ac:dyDescent="0.2">
      <c r="A20" s="12">
        <v>18</v>
      </c>
      <c r="B20" s="12">
        <v>3</v>
      </c>
      <c r="C20" t="s">
        <v>90</v>
      </c>
      <c r="D20" s="1">
        <v>1066179725</v>
      </c>
      <c r="E20" s="12">
        <v>2006</v>
      </c>
      <c r="F20" s="12" t="s">
        <v>91</v>
      </c>
    </row>
    <row r="21" spans="1:6" x14ac:dyDescent="0.2">
      <c r="A21" s="12">
        <v>19</v>
      </c>
      <c r="B21" s="12">
        <v>5</v>
      </c>
      <c r="C21" t="s">
        <v>92</v>
      </c>
      <c r="D21" s="1">
        <v>1063171911</v>
      </c>
      <c r="E21" s="12">
        <v>2010</v>
      </c>
      <c r="F21" s="12" t="s">
        <v>93</v>
      </c>
    </row>
    <row r="22" spans="1:6" x14ac:dyDescent="0.2">
      <c r="A22" s="12">
        <v>20</v>
      </c>
      <c r="B22" s="12">
        <v>6</v>
      </c>
      <c r="C22" t="s">
        <v>94</v>
      </c>
      <c r="D22" s="1">
        <v>1045713802</v>
      </c>
      <c r="E22" s="12">
        <v>2011</v>
      </c>
      <c r="F22" s="12" t="s">
        <v>95</v>
      </c>
    </row>
    <row r="23" spans="1:6" x14ac:dyDescent="0.2">
      <c r="A23" s="12">
        <v>21</v>
      </c>
      <c r="B23" s="12">
        <v>1</v>
      </c>
      <c r="C23" t="s">
        <v>96</v>
      </c>
      <c r="D23" s="1">
        <v>1029939903</v>
      </c>
      <c r="E23" s="12">
        <v>1993</v>
      </c>
      <c r="F23" s="12" t="s">
        <v>97</v>
      </c>
    </row>
    <row r="24" spans="1:6" x14ac:dyDescent="0.2">
      <c r="A24" s="12">
        <v>22</v>
      </c>
      <c r="B24" s="12">
        <v>2</v>
      </c>
      <c r="C24" t="s">
        <v>98</v>
      </c>
      <c r="D24" s="1">
        <v>1027044677</v>
      </c>
      <c r="E24" s="12">
        <v>1999</v>
      </c>
      <c r="F24" s="12" t="s">
        <v>99</v>
      </c>
    </row>
    <row r="25" spans="1:6" x14ac:dyDescent="0.2">
      <c r="A25" s="12">
        <v>23</v>
      </c>
      <c r="B25" s="12">
        <v>5</v>
      </c>
      <c r="C25" t="s">
        <v>100</v>
      </c>
      <c r="D25" s="1">
        <v>1025467110</v>
      </c>
      <c r="E25" s="12">
        <v>2010</v>
      </c>
      <c r="F25" s="12" t="s">
        <v>101</v>
      </c>
    </row>
    <row r="26" spans="1:6" x14ac:dyDescent="0.2">
      <c r="A26" s="12">
        <v>24</v>
      </c>
      <c r="B26" s="12">
        <v>14</v>
      </c>
      <c r="C26" t="s">
        <v>102</v>
      </c>
      <c r="D26" s="1">
        <v>1021103568</v>
      </c>
      <c r="E26" s="12">
        <v>2012</v>
      </c>
      <c r="F26" s="12" t="s">
        <v>103</v>
      </c>
    </row>
    <row r="27" spans="1:6" x14ac:dyDescent="0.2">
      <c r="A27" s="12">
        <v>25</v>
      </c>
      <c r="B27" s="12">
        <v>25</v>
      </c>
      <c r="C27" t="s">
        <v>104</v>
      </c>
      <c r="D27" s="1">
        <v>1016461033</v>
      </c>
      <c r="E27" s="12">
        <v>2016</v>
      </c>
      <c r="F27" s="12" t="s">
        <v>105</v>
      </c>
    </row>
    <row r="28" spans="1:6" x14ac:dyDescent="0.2">
      <c r="A28" s="12">
        <v>26</v>
      </c>
      <c r="B28" s="12">
        <v>4</v>
      </c>
      <c r="C28" t="s">
        <v>106</v>
      </c>
      <c r="D28" s="1">
        <v>1004558444</v>
      </c>
      <c r="E28" s="12">
        <v>2008</v>
      </c>
      <c r="F28" s="12" t="s">
        <v>107</v>
      </c>
    </row>
    <row r="29" spans="1:6" x14ac:dyDescent="0.2">
      <c r="A29" s="12">
        <v>27</v>
      </c>
      <c r="B29" s="12">
        <v>2</v>
      </c>
      <c r="C29" t="s">
        <v>108</v>
      </c>
      <c r="D29" s="1">
        <v>974755371</v>
      </c>
      <c r="E29" s="12">
        <v>2001</v>
      </c>
      <c r="F29" s="12" t="s">
        <v>109</v>
      </c>
    </row>
    <row r="30" spans="1:6" x14ac:dyDescent="0.2">
      <c r="A30" s="12">
        <v>28</v>
      </c>
      <c r="B30" s="12" t="s">
        <v>110</v>
      </c>
      <c r="C30" t="s">
        <v>111</v>
      </c>
      <c r="D30" s="1">
        <v>970761885</v>
      </c>
      <c r="E30" s="12">
        <v>2013</v>
      </c>
      <c r="F30" s="12" t="s">
        <v>112</v>
      </c>
    </row>
    <row r="31" spans="1:6" x14ac:dyDescent="0.2">
      <c r="A31" s="12">
        <v>29</v>
      </c>
      <c r="B31" s="12">
        <v>2</v>
      </c>
      <c r="C31" t="s">
        <v>113</v>
      </c>
      <c r="D31" s="1">
        <v>968483777</v>
      </c>
      <c r="E31" s="12">
        <v>1994</v>
      </c>
      <c r="F31" s="12" t="s">
        <v>114</v>
      </c>
    </row>
    <row r="32" spans="1:6" x14ac:dyDescent="0.2">
      <c r="A32" s="12">
        <v>30</v>
      </c>
      <c r="B32" s="12">
        <v>5</v>
      </c>
      <c r="C32" t="s">
        <v>115</v>
      </c>
      <c r="D32" s="1">
        <v>963420425</v>
      </c>
      <c r="E32" s="12">
        <v>2007</v>
      </c>
      <c r="F32" s="12" t="s">
        <v>116</v>
      </c>
    </row>
    <row r="33" spans="1:6" x14ac:dyDescent="0.2">
      <c r="A33" s="12">
        <v>31</v>
      </c>
      <c r="B33" s="12">
        <v>10</v>
      </c>
      <c r="C33" t="s">
        <v>117</v>
      </c>
      <c r="D33" s="1">
        <v>960283305</v>
      </c>
      <c r="E33" s="12">
        <v>2010</v>
      </c>
      <c r="F33" s="12" t="s">
        <v>118</v>
      </c>
    </row>
    <row r="34" spans="1:6" x14ac:dyDescent="0.2">
      <c r="A34" s="12">
        <v>32</v>
      </c>
      <c r="B34" s="12">
        <v>24</v>
      </c>
      <c r="C34" t="s">
        <v>119</v>
      </c>
      <c r="D34" s="1">
        <v>958366855</v>
      </c>
      <c r="E34" s="12">
        <v>2013</v>
      </c>
      <c r="F34" s="12" t="s">
        <v>120</v>
      </c>
    </row>
    <row r="35" spans="1:6" x14ac:dyDescent="0.2">
      <c r="A35" s="12">
        <v>33</v>
      </c>
      <c r="B35" s="12">
        <v>26</v>
      </c>
      <c r="C35" t="s">
        <v>121</v>
      </c>
      <c r="D35" s="1">
        <v>956019788</v>
      </c>
      <c r="E35" s="12">
        <v>2014</v>
      </c>
      <c r="F35" s="12" t="s">
        <v>122</v>
      </c>
    </row>
    <row r="36" spans="1:6" x14ac:dyDescent="0.2">
      <c r="A36" s="12">
        <v>34</v>
      </c>
      <c r="B36" s="12">
        <v>6</v>
      </c>
      <c r="C36" t="s">
        <v>123</v>
      </c>
      <c r="D36" s="1">
        <v>939885929</v>
      </c>
      <c r="E36" s="12">
        <v>2007</v>
      </c>
      <c r="F36" s="12" t="s">
        <v>124</v>
      </c>
    </row>
    <row r="37" spans="1:6" x14ac:dyDescent="0.2">
      <c r="A37" s="12">
        <v>35</v>
      </c>
      <c r="B37" s="12">
        <v>9</v>
      </c>
      <c r="C37" t="s">
        <v>125</v>
      </c>
      <c r="D37" s="1">
        <v>936743261</v>
      </c>
      <c r="E37" s="12">
        <v>2003</v>
      </c>
      <c r="F37" s="12" t="s">
        <v>126</v>
      </c>
    </row>
    <row r="38" spans="1:6" x14ac:dyDescent="0.2">
      <c r="A38" s="12">
        <v>36</v>
      </c>
      <c r="B38" s="12">
        <v>8</v>
      </c>
      <c r="C38" t="s">
        <v>127</v>
      </c>
      <c r="D38" s="1">
        <v>934416487</v>
      </c>
      <c r="E38" s="12">
        <v>2009</v>
      </c>
      <c r="F38" s="12" t="s">
        <v>128</v>
      </c>
    </row>
    <row r="39" spans="1:6" x14ac:dyDescent="0.2">
      <c r="A39" s="12">
        <v>37</v>
      </c>
      <c r="B39" s="12">
        <v>37</v>
      </c>
      <c r="C39" t="s">
        <v>129</v>
      </c>
      <c r="D39" s="1">
        <v>929841523</v>
      </c>
      <c r="E39" s="12">
        <v>2016</v>
      </c>
      <c r="F39" s="12" t="s">
        <v>130</v>
      </c>
    </row>
    <row r="40" spans="1:6" x14ac:dyDescent="0.2">
      <c r="A40" s="12">
        <v>38</v>
      </c>
      <c r="B40" s="12">
        <v>4</v>
      </c>
      <c r="C40" t="s">
        <v>131</v>
      </c>
      <c r="D40" s="1">
        <v>926047111</v>
      </c>
      <c r="E40" s="12">
        <v>2002</v>
      </c>
      <c r="F40" s="12" t="s">
        <v>132</v>
      </c>
    </row>
    <row r="41" spans="1:6" x14ac:dyDescent="0.2">
      <c r="A41" s="12">
        <v>39</v>
      </c>
      <c r="B41" s="12">
        <v>6</v>
      </c>
      <c r="C41" t="s">
        <v>133</v>
      </c>
      <c r="D41" s="1">
        <v>919838758</v>
      </c>
      <c r="E41" s="12">
        <v>2004</v>
      </c>
      <c r="F41" s="12" t="s">
        <v>134</v>
      </c>
    </row>
    <row r="42" spans="1:6" x14ac:dyDescent="0.2">
      <c r="A42" s="12">
        <v>40</v>
      </c>
      <c r="B42" s="12">
        <v>8</v>
      </c>
      <c r="C42" t="s">
        <v>135</v>
      </c>
      <c r="D42" s="1">
        <v>896911078</v>
      </c>
      <c r="E42" s="12">
        <v>2005</v>
      </c>
      <c r="F42" s="12" t="s">
        <v>136</v>
      </c>
    </row>
    <row r="43" spans="1:6" x14ac:dyDescent="0.2">
      <c r="A43" s="12">
        <v>41</v>
      </c>
      <c r="B43" s="12">
        <v>10</v>
      </c>
      <c r="C43" t="s">
        <v>137</v>
      </c>
      <c r="D43" s="1">
        <v>890871626</v>
      </c>
      <c r="E43" s="12">
        <v>2007</v>
      </c>
      <c r="F43" s="12" t="s">
        <v>138</v>
      </c>
    </row>
    <row r="44" spans="1:6" x14ac:dyDescent="0.2">
      <c r="A44" s="12">
        <v>42</v>
      </c>
      <c r="B44" s="12">
        <v>15</v>
      </c>
      <c r="C44" t="s">
        <v>139</v>
      </c>
      <c r="D44" s="1">
        <v>886686817</v>
      </c>
      <c r="E44" s="12">
        <v>2009</v>
      </c>
      <c r="F44" s="12" t="s">
        <v>140</v>
      </c>
    </row>
    <row r="45" spans="1:6" x14ac:dyDescent="0.2">
      <c r="A45" s="12">
        <v>43</v>
      </c>
      <c r="B45" s="12">
        <v>40</v>
      </c>
      <c r="C45" t="s">
        <v>141</v>
      </c>
      <c r="D45" s="1">
        <v>880674609</v>
      </c>
      <c r="E45" s="12">
        <v>2015</v>
      </c>
      <c r="F45" s="12" t="s">
        <v>142</v>
      </c>
    </row>
    <row r="46" spans="1:6" x14ac:dyDescent="0.2">
      <c r="A46" s="12">
        <v>44</v>
      </c>
      <c r="B46" s="12">
        <v>6</v>
      </c>
      <c r="C46" t="s">
        <v>143</v>
      </c>
      <c r="D46" s="1">
        <v>878979634</v>
      </c>
      <c r="E46" s="12">
        <v>2002</v>
      </c>
      <c r="F46" s="12" t="s">
        <v>144</v>
      </c>
    </row>
    <row r="47" spans="1:6" x14ac:dyDescent="0.2">
      <c r="A47" s="12">
        <v>45</v>
      </c>
      <c r="B47" s="12">
        <v>29</v>
      </c>
      <c r="C47" t="s">
        <v>145</v>
      </c>
      <c r="D47" s="1">
        <v>877244782</v>
      </c>
      <c r="E47" s="12">
        <v>2012</v>
      </c>
      <c r="F47" s="12" t="s">
        <v>146</v>
      </c>
    </row>
    <row r="48" spans="1:6" x14ac:dyDescent="0.2">
      <c r="A48" s="12">
        <v>46</v>
      </c>
      <c r="B48" s="12">
        <v>45</v>
      </c>
      <c r="C48" t="s">
        <v>147</v>
      </c>
      <c r="D48" s="1">
        <v>872662631</v>
      </c>
      <c r="E48" s="12">
        <v>2016</v>
      </c>
      <c r="F48" s="12" t="s">
        <v>148</v>
      </c>
    </row>
    <row r="49" spans="1:6" x14ac:dyDescent="0.2">
      <c r="A49" s="12">
        <v>47</v>
      </c>
      <c r="B49" s="12">
        <v>5</v>
      </c>
      <c r="C49" t="s">
        <v>149</v>
      </c>
      <c r="D49" s="1">
        <v>871530324</v>
      </c>
      <c r="E49" s="12">
        <v>2001</v>
      </c>
      <c r="F49" s="12" t="s">
        <v>150</v>
      </c>
    </row>
    <row r="50" spans="1:6" x14ac:dyDescent="0.2">
      <c r="A50" s="12">
        <v>48</v>
      </c>
      <c r="B50" s="12">
        <v>34</v>
      </c>
      <c r="C50" t="s">
        <v>151</v>
      </c>
      <c r="D50" s="1">
        <v>865011746</v>
      </c>
      <c r="E50" s="12">
        <v>2013</v>
      </c>
      <c r="F50" s="12" t="s">
        <v>152</v>
      </c>
    </row>
    <row r="51" spans="1:6" x14ac:dyDescent="0.2">
      <c r="A51" s="12">
        <v>49</v>
      </c>
      <c r="B51" s="12">
        <v>43</v>
      </c>
      <c r="C51" t="s">
        <v>153</v>
      </c>
      <c r="D51" s="1">
        <v>857427711</v>
      </c>
      <c r="E51" s="12">
        <v>2015</v>
      </c>
      <c r="F51" s="12" t="s">
        <v>154</v>
      </c>
    </row>
    <row r="52" spans="1:6" x14ac:dyDescent="0.2">
      <c r="A52" s="12">
        <v>50</v>
      </c>
      <c r="B52" s="12">
        <v>11</v>
      </c>
      <c r="C52" t="s">
        <v>155</v>
      </c>
      <c r="D52" s="1">
        <v>848754768</v>
      </c>
      <c r="E52" s="12">
        <v>2005</v>
      </c>
      <c r="F52" s="12" t="s">
        <v>156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2.75" x14ac:dyDescent="0.2"/>
  <sheetData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heet6.LoadfrmInputs">
                <anchor moveWithCells="1" sizeWithCells="1">
                  <from>
                    <xdr:col>2</xdr:col>
                    <xdr:colOff>0</xdr:colOff>
                    <xdr:row>1</xdr:row>
                    <xdr:rowOff>152400</xdr:rowOff>
                  </from>
                  <to>
                    <xdr:col>5</xdr:col>
                    <xdr:colOff>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>
    <Used_x0020_in_x0020_Chapter xmlns="d1607db4-bd3f-4f82-a312-bf7e283d0a6b">true</Used_x0020_in_x0020_Chapter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F8E4BBD310ADB419B3C5F1ACE4D113D" ma:contentTypeVersion="1" ma:contentTypeDescription="Create a new document." ma:contentTypeScope="" ma:versionID="63e1bd94a874076348984a0131457edc">
  <xsd:schema xmlns:xsd="http://www.w3.org/2001/XMLSchema" xmlns:p="http://schemas.microsoft.com/office/2006/metadata/properties" xmlns:ns2="d1607db4-bd3f-4f82-a312-bf7e283d0a6b" targetNamespace="http://schemas.microsoft.com/office/2006/metadata/properties" ma:root="true" ma:fieldsID="7c9989741aedae2f07a76d9f40ef2a18" ns2:_="">
    <xsd:import namespace="d1607db4-bd3f-4f82-a312-bf7e283d0a6b"/>
    <xsd:element name="properties">
      <xsd:complexType>
        <xsd:sequence>
          <xsd:element name="documentManagement">
            <xsd:complexType>
              <xsd:all>
                <xsd:element ref="ns2:Used_x0020_in_x0020_Chapt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d1607db4-bd3f-4f82-a312-bf7e283d0a6b" elementFormDefault="qualified">
    <xsd:import namespace="http://schemas.microsoft.com/office/2006/documentManagement/types"/>
    <xsd:element name="Used_x0020_in_x0020_Chapter" ma:index="8" nillable="true" ma:displayName="Used in Chapter" ma:default="1" ma:internalName="Used_x0020_in_x0020_Chapter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915BD2E-5986-4FB3-9685-67E027754FC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E417C2E-9783-4004-A272-72A7AB0779F9}">
  <ds:schemaRefs>
    <ds:schemaRef ds:uri="http://purl.org/dc/terms/"/>
    <ds:schemaRef ds:uri="d1607db4-bd3f-4f82-a312-bf7e283d0a6b"/>
    <ds:schemaRef ds:uri="http://www.w3.org/XML/1998/namespace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F89EC1D-CE2F-40B2-B391-0439EF01A4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1607db4-bd3f-4f82-a312-bf7e283d0a6b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PresentationFormat/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Documentation</vt:lpstr>
      <vt:lpstr>HW7 Q1A</vt:lpstr>
      <vt:lpstr>HW7 Q1B</vt:lpstr>
      <vt:lpstr>HW7 Q1C</vt:lpstr>
      <vt:lpstr>HW7 Q2</vt:lpstr>
      <vt:lpstr>HW7 Q3</vt:lpstr>
      <vt:lpstr>HW7 Q4</vt:lpstr>
      <vt:lpstr>'HW7 Q2'!Kingslineups</vt:lpstr>
      <vt:lpstr>Labor_Used</vt:lpstr>
      <vt:lpstr>'HW7 Q3'!List_of_highest_grossing_films</vt:lpstr>
      <vt:lpstr>Pounds_made</vt:lpstr>
      <vt:lpstr>Pounds_made_Product1</vt:lpstr>
      <vt:lpstr>Profit</vt:lpstr>
      <vt:lpstr>Raw_Material_Used</vt:lpstr>
    </vt:vector>
  </TitlesOfParts>
  <Manager/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Eclipse</dc:creator>
  <cp:keywords/>
  <dc:description/>
  <cp:lastModifiedBy>Maciej Medyk</cp:lastModifiedBy>
  <cp:revision/>
  <dcterms:created xsi:type="dcterms:W3CDTF">2007-01-16T13:13:53Z</dcterms:created>
  <dcterms:modified xsi:type="dcterms:W3CDTF">2016-07-01T15:09:47Z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0x010100AF8E4BBD310ADB419B3C5F1ACE4D113D</vt:lpwstr>
  </property>
</Properties>
</file>